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<sst xmlns="http://schemas.openxmlformats.org/spreadsheetml/2006/main" count="183" uniqueCount="182">
  <si>
    <t xml:space="preserve">CannaSaas P&amp;L Model — Key Assumptions</t>
  </si>
  <si>
    <t xml:space="preserve">Value</t>
  </si>
  <si>
    <t xml:space="preserve">Notes</t>
  </si>
  <si>
    <t xml:space="preserve">REVENUE ASSUMPTIONS</t>
  </si>
  <si>
    <t xml:space="preserve">Starter Plan Monthly Price</t>
  </si>
  <si>
    <t xml:space="preserve">Per location</t>
  </si>
  <si>
    <t xml:space="preserve">Growth Plan Monthly Price</t>
  </si>
  <si>
    <t xml:space="preserve">Per location (up to 3)</t>
  </si>
  <si>
    <t xml:space="preserve">Enterprise Avg Monthly Price</t>
  </si>
  <si>
    <t xml:space="preserve">Custom pricing, estimated average</t>
  </si>
  <si>
    <t xml:space="preserve">Starter % of New Customers (Y1)</t>
  </si>
  <si>
    <t xml:space="preserve">Shifts to 45% in Y2</t>
  </si>
  <si>
    <t xml:space="preserve">Growth % of New Customers (Y1)</t>
  </si>
  <si>
    <t xml:space="preserve">Shifts to 40% in Y2</t>
  </si>
  <si>
    <t xml:space="preserve">Enterprise % of New Customers (Y1)</t>
  </si>
  <si>
    <t xml:space="preserve">Shifts to 15% in Y2</t>
  </si>
  <si>
    <t xml:space="preserve">Blended ARPA (Month 1–12)</t>
  </si>
  <si>
    <t xml:space="preserve">Weighted avg across plans</t>
  </si>
  <si>
    <t xml:space="preserve">Blended ARPA (Month 13–24)</t>
  </si>
  <si>
    <t xml:space="preserve">Higher Enterprise mix</t>
  </si>
  <si>
    <t xml:space="preserve">Monthly Churn Rate (Y1)</t>
  </si>
  <si>
    <t xml:space="preserve">5% — new product, early customers</t>
  </si>
  <si>
    <t xml:space="preserve">Monthly Churn Rate (Y2)</t>
  </si>
  <si>
    <t xml:space="preserve">3% — product matures, CSM active</t>
  </si>
  <si>
    <t xml:space="preserve">Annual Churn Rate (Y1 implied)</t>
  </si>
  <si>
    <t xml:space="preserve">Annual Churn Rate (Y2 implied)</t>
  </si>
  <si>
    <t xml:space="preserve">CUSTOMER ACQUISITION</t>
  </si>
  <si>
    <t xml:space="preserve">New Customers Mo 1</t>
  </si>
  <si>
    <t xml:space="preserve">Founder-led, first deployments</t>
  </si>
  <si>
    <t xml:space="preserve">New Customers Mo 3</t>
  </si>
  <si>
    <t xml:space="preserve">Ramping outbound</t>
  </si>
  <si>
    <t xml:space="preserve">New Customers Mo 6</t>
  </si>
  <si>
    <t xml:space="preserve">SDR contributing</t>
  </si>
  <si>
    <t xml:space="preserve">New Customers Mo 9</t>
  </si>
  <si>
    <t xml:space="preserve">AE + SDR</t>
  </si>
  <si>
    <t xml:space="preserve">New Customers Mo 12</t>
  </si>
  <si>
    <t xml:space="preserve">Full sales team</t>
  </si>
  <si>
    <t xml:space="preserve">New Customers Mo 18</t>
  </si>
  <si>
    <t xml:space="preserve">Multi-state, 2 AEs</t>
  </si>
  <si>
    <t xml:space="preserve">New Customers Mo 24</t>
  </si>
  <si>
    <t xml:space="preserve">Full expansion</t>
  </si>
  <si>
    <t xml:space="preserve">PERSONNEL ASSUMPTIONS</t>
  </si>
  <si>
    <t xml:space="preserve">Founder Salary (monthly, deferred Y1)</t>
  </si>
  <si>
    <t xml:space="preserve">Not taking salary in Y1</t>
  </si>
  <si>
    <t xml:space="preserve">Founder Salary (monthly, Y2)</t>
  </si>
  <si>
    <t xml:space="preserve">Begins Month 13</t>
  </si>
  <si>
    <t xml:space="preserve">Payroll Tax &amp; Benefits Loading</t>
  </si>
  <si>
    <t xml:space="preserve">20% on top of base salary</t>
  </si>
  <si>
    <t xml:space="preserve">GENERAL &amp; ADMINISTRATIVE</t>
  </si>
  <si>
    <t xml:space="preserve">Accounting / Bookkeeping (monthly)</t>
  </si>
  <si>
    <t xml:space="preserve">Fractional CFO/bookkeeper</t>
  </si>
  <si>
    <t xml:space="preserve">Legal (monthly avg)</t>
  </si>
  <si>
    <t xml:space="preserve">Cannabis attorney retainer + ad hoc</t>
  </si>
  <si>
    <t xml:space="preserve">Insurance (monthly)</t>
  </si>
  <si>
    <t xml:space="preserve">General liability + E&amp;O + cyber</t>
  </si>
  <si>
    <t xml:space="preserve">Registered Agent / Compliance Filing</t>
  </si>
  <si>
    <t xml:space="preserve">State registrations</t>
  </si>
  <si>
    <t xml:space="preserve">Office / Coworking (monthly)</t>
  </si>
  <si>
    <t xml:space="preserve">Remote-first; coworking as needed</t>
  </si>
  <si>
    <t xml:space="preserve">Miscellaneous / Contingency (monthly)</t>
  </si>
  <si>
    <t xml:space="preserve">5–10% buffer</t>
  </si>
  <si>
    <t xml:space="preserve">CannaSaas — Projected P&amp;L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</si>
  <si>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</si>
  <si>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</si>
  <si>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</si>
  <si>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</si>
  <si>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</si>
  <si>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</si>
  <si>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</si>
  <si>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</si>
  <si>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</si>
  <si>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</si>
  <si>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</si>
  <si>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</si>
  <si>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</si>
  <si>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</si>
  <si>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</si>
  <si>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</si>
  <si>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</si>
  <si>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</si>
  <si>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</si>
  <si>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</si>
  <si>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</si>
  <si>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</si>
  <si>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</si>
  <si>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</si>
  <si>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Year 1 Total</t>
  </si>
  <si>
    <t xml:space="preserve">Year 2 Total</t>
  </si>
  <si>
    <t xml:space="preserve">REVENUE</t>
  </si>
  <si>
    <t xml:space="preserve">  New Customers</t>
  </si>
  <si>
    <t xml:space="preserve">  Churned Customers</t>
  </si>
  <si>
    <t xml:space="preserve">  Active Customers (End of Month)</t>
  </si>
  <si>
    <t xml:space="preserve">  Average Revenue Per Account (ARPA)</t>
  </si>
  <si>
    <t xml:space="preserve">  Monthly Recurring Revenue (MRR)</t>
  </si>
  <si>
    <t xml:space="preserve">  Setup / Onboarding Fees</t>
  </si>
  <si>
    <t xml:space="preserve">TOTAL REVENUE</t>
  </si>
  <si>
    <t xml:space="preserve">SALES EXPENSES</t>
  </si>
  <si>
    <t xml:space="preserve">  SDR #1 Base (Mo 7+)</t>
  </si>
  <si>
    <t xml:space="preserve">  Account Executive #1 (Mo 13+)</t>
  </si>
  <si>
    <t xml:space="preserve">  Account Executive #2 (Mo 19+)</t>
  </si>
  <si>
    <t xml:space="preserve">  SDR #2 (Mo 19+)</t>
  </si>
  <si>
    <t xml:space="preserve">  Customer Success Mgr (Mo 13+)</t>
  </si>
  <si>
    <t xml:space="preserve">  Sales Commissions (10% of new MRR)</t>
  </si>
  <si>
    <t xml:space="preserve">  CRM &amp; Sales Tools</t>
  </si>
  <si>
    <t xml:space="preserve">  Trade Shows &amp; Events</t>
  </si>
  <si>
    <t xml:space="preserve">  Travel</t>
  </si>
  <si>
    <t xml:space="preserve">  Referral Partner Commissions</t>
  </si>
  <si>
    <t xml:space="preserve">  Payroll Tax &amp; Benefits (20%)</t>
  </si>
  <si>
    <t xml:space="preserve">TOTAL SALES EXPENSES</t>
  </si>
  <si>
    <t xml:space="preserve">MARKETING EXPENSES</t>
  </si>
  <si>
    <t xml:space="preserve">  Freelance Writer</t>
  </si>
  <si>
    <t xml:space="preserve">  Freelance Designer</t>
  </si>
  <si>
    <t xml:space="preserve">  PT Marketing Mgr / Contractor (Mo 7+)</t>
  </si>
  <si>
    <t xml:space="preserve">  Content Marketing Mgr FTE (Mo 13+)</t>
  </si>
  <si>
    <t xml:space="preserve">  Growth Marketer FTE (Mo 19+)</t>
  </si>
  <si>
    <t xml:space="preserve">  Freelance Video Editor (Mo 7+)</t>
  </si>
  <si>
    <t xml:space="preserve">  Marketing Payroll Loading (20%)</t>
  </si>
  <si>
    <t xml:space="preserve">  Google Ads</t>
  </si>
  <si>
    <t xml:space="preserve">  LinkedIn Ads</t>
  </si>
  <si>
    <t xml:space="preserve">  Industry Ads &amp; Podcast Sponsorships</t>
  </si>
  <si>
    <t xml:space="preserve">  Retargeting</t>
  </si>
  <si>
    <t xml:space="preserve">  Email Platform (ConvertKit)</t>
  </si>
  <si>
    <t xml:space="preserve">  SEO Tools (Ahrefs)</t>
  </si>
  <si>
    <t xml:space="preserve">  Social Scheduling (Buffer)</t>
  </si>
  <si>
    <t xml:space="preserve">  Design Tools (Canva Pro)</t>
  </si>
  <si>
    <t xml:space="preserve">  Content Production (video, audio, assets)</t>
  </si>
  <si>
    <t xml:space="preserve">  Trade Show Booths &amp; Sponsorships</t>
  </si>
  <si>
    <t xml:space="preserve">  Workshop Hosting</t>
  </si>
  <si>
    <t xml:space="preserve">  Event Collateral (banner, swag)</t>
  </si>
  <si>
    <t xml:space="preserve">TOTAL MARKETING EXPENSES</t>
  </si>
  <si>
    <t xml:space="preserve">TECHNOLOGY EXPENSES</t>
  </si>
  <si>
    <t xml:space="preserve">  Sr Full-Stack Developer (Mo 4+)</t>
  </si>
  <si>
    <t xml:space="preserve">  Metrc Integration Engineer (Mo 6+)</t>
  </si>
  <si>
    <t xml:space="preserve">  DevOps / Platform Engineer (Mo 8+)</t>
  </si>
  <si>
    <t xml:space="preserve">  QA / Test Automation Eng (Mo 10+)</t>
  </si>
  <si>
    <t xml:space="preserve">  Frontend Developer (Mo 10+)</t>
  </si>
  <si>
    <t xml:space="preserve">  Backend Developer #1 (Mo 13+)</t>
  </si>
  <si>
    <t xml:space="preserve">  Mobile Developer (Mo 14+)</t>
  </si>
  <si>
    <t xml:space="preserve">  Backend Developer #2 (Mo 20+)</t>
  </si>
  <si>
    <t xml:space="preserve">  Security / Compliance Eng (Mo 20+)</t>
  </si>
  <si>
    <t xml:space="preserve">  Eng Payroll Tax &amp; Benefits (20%)</t>
  </si>
  <si>
    <t xml:space="preserve">  AWS Infrastructure</t>
  </si>
  <si>
    <t xml:space="preserve">  Vercel / Storefront Hosting</t>
  </si>
  <si>
    <t xml:space="preserve">  Datadog (Monitoring)</t>
  </si>
  <si>
    <t xml:space="preserve">  Sentry (Error Tracking)</t>
  </si>
  <si>
    <t xml:space="preserve">  PagerDuty / Incident Mgmt</t>
  </si>
  <si>
    <t xml:space="preserve">  GitHub Team</t>
  </si>
  <si>
    <t xml:space="preserve">  Linear (Project Mgmt)</t>
  </si>
  <si>
    <t xml:space="preserve">  1Password Business</t>
  </si>
  <si>
    <t xml:space="preserve">  Feature Flags (LaunchDarkly, Mo 6+)</t>
  </si>
  <si>
    <t xml:space="preserve">  Figma</t>
  </si>
  <si>
    <t xml:space="preserve">  Email / SMS Services (SES, Twilio)</t>
  </si>
  <si>
    <t xml:space="preserve">  SOC 2 Audit &amp; Compliance Tooling</t>
  </si>
  <si>
    <t xml:space="preserve">  Penetration Testing (quarterly)</t>
  </si>
  <si>
    <t xml:space="preserve">  Equipment (laptops, monitors, devices)</t>
  </si>
  <si>
    <t xml:space="preserve">TOTAL TECHNOLOGY EXPENSES</t>
  </si>
  <si>
    <t xml:space="preserve">  Founder Salary</t>
  </si>
  <si>
    <t xml:space="preserve">  Founder Payroll Loading (20%)</t>
  </si>
  <si>
    <t xml:space="preserve">  Accounting / Bookkeeping</t>
  </si>
  <si>
    <t xml:space="preserve">  Legal (Cannabis Attorney)</t>
  </si>
  <si>
    <t xml:space="preserve">  Insurance (GL + E&amp;O + Cyber)</t>
  </si>
  <si>
    <t xml:space="preserve">  Registered Agent / State Filings</t>
  </si>
  <si>
    <t xml:space="preserve">  Office / Coworking</t>
  </si>
  <si>
    <t xml:space="preserve">  Bank Fees &amp; Payment Processing</t>
  </si>
  <si>
    <t xml:space="preserve">  Phone / Communication</t>
  </si>
  <si>
    <t xml:space="preserve">  D&amp;O / Business Insurance</t>
  </si>
  <si>
    <t xml:space="preserve">  Miscellaneous / Contingency</t>
  </si>
  <si>
    <t xml:space="preserve">TOTAL G&amp;A EXPENSES</t>
  </si>
  <si>
    <t xml:space="preserve">TOTAL OPERATING EXPENSES</t>
  </si>
  <si>
    <t xml:space="preserve">PROFITABILITY</t>
  </si>
  <si>
    <t xml:space="preserve">  Net Income / (Loss)</t>
  </si>
  <si>
    <t xml:space="preserve">  Net Margin %</t>
  </si>
  <si>
    <t xml:space="preserve">  Cumulative Net Income / (Loss)</t>
  </si>
  <si>
    <t xml:space="preserve">KEY METRICS</t>
  </si>
  <si>
    <t xml:space="preserve">  Monthly Burn Rate</t>
  </si>
  <si>
    <t xml:space="preserve">  Annualized Run Rate Revenue (ARR)</t>
  </si>
  <si>
    <t xml:space="preserve">  CAC (Total S&amp;M / New Customers)</t>
  </si>
  <si>
    <t xml:space="preserve">  LTV (ARPA / Churn Rate)</t>
  </si>
  <si>
    <t xml:space="preserve">  Expense Breakdown: Sales %</t>
  </si>
  <si>
    <t xml:space="preserve">  Expense Breakdown: Marketing %</t>
  </si>
  <si>
    <t xml:space="preserve">  Expense Breakdown: Technology %</t>
  </si>
  <si>
    <t xml:space="preserve">  Expense Breakdown: G&amp;A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</si>
</sst>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0A1F0A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5E20"/>
        <bgColor rgb="FF333333"/>
      </patternFill>
    </fill>
    <fill>
      <patternFill patternType="solid">
        <fgColor rgb="FFE8F5E9"/>
        <bgColor rgb="FFD5E8D4"/>
      </patternFill>
    </fill>
    <fill>
      <patternFill patternType="solid">
        <fgColor rgb="FFFFFFCC"/>
        <bgColor rgb="FFFFFFFF"/>
      </patternFill>
    </fill>
    <fill>
      <patternFill patternType="solid">
        <fgColor rgb="FFD5E8D4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333333"/>
      </top>
      <bottom style="double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C9A84C"/>
      <rgbColor rgb="FF003366"/>
      <rgbColor rgb="FF339966"/>
      <rgbColor rgb="FF0A1F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/>
      <c r="C2" s="3"/>
    </row>
    <row r="3" customFormat="false" ht="15" hidden="false" customHeight="false" outlineLevel="0" collapsed="false">
      <c r="A3" s="4" t="s">
        <v>4</v>
      </c>
      <c r="B3" s="5" t="n">
        <v>299</v>
      </c>
      <c r="C3" s="6" t="s">
        <v>5</v>
      </c>
    </row>
    <row r="4" customFormat="false" ht="15" hidden="false" customHeight="false" outlineLevel="0" collapsed="false">
      <c r="A4" s="4" t="s">
        <v>6</v>
      </c>
      <c r="B4" s="5" t="n">
        <v>599</v>
      </c>
      <c r="C4" s="6" t="s">
        <v>7</v>
      </c>
    </row>
    <row r="5" customFormat="false" ht="15" hidden="false" customHeight="false" outlineLevel="0" collapsed="false">
      <c r="A5" s="4" t="s">
        <v>8</v>
      </c>
      <c r="B5" s="5" t="n">
        <v>899</v>
      </c>
      <c r="C5" s="6" t="s">
        <v>9</v>
      </c>
    </row>
    <row r="6" customFormat="false" ht="15" hidden="false" customHeight="false" outlineLevel="0" collapsed="false">
      <c r="A6" s="4" t="s">
        <v>10</v>
      </c>
      <c r="B6" s="7" t="n">
        <v>0.6</v>
      </c>
      <c r="C6" s="6" t="s">
        <v>11</v>
      </c>
    </row>
    <row r="7" customFormat="false" ht="15" hidden="false" customHeight="false" outlineLevel="0" collapsed="false">
      <c r="A7" s="4" t="s">
        <v>12</v>
      </c>
      <c r="B7" s="7" t="n">
        <v>0.35</v>
      </c>
      <c r="C7" s="6" t="s">
        <v>13</v>
      </c>
    </row>
    <row r="8" customFormat="false" ht="15" hidden="false" customHeight="false" outlineLevel="0" collapsed="false">
      <c r="A8" s="4" t="s">
        <v>14</v>
      </c>
      <c r="B8" s="7" t="n">
        <v>0.05</v>
      </c>
      <c r="C8" s="6" t="s">
        <v>15</v>
      </c>
    </row>
    <row r="9" customFormat="false" ht="15" hidden="false" customHeight="false" outlineLevel="0" collapsed="false">
      <c r="A9" s="4" t="s">
        <v>16</v>
      </c>
      <c r="B9" s="5" t="n">
        <v>400</v>
      </c>
      <c r="C9" s="6" t="s">
        <v>17</v>
      </c>
    </row>
    <row r="10" customFormat="false" ht="15" hidden="false" customHeight="false" outlineLevel="0" collapsed="false">
      <c r="A10" s="4" t="s">
        <v>18</v>
      </c>
      <c r="B10" s="5" t="n">
        <v>460</v>
      </c>
      <c r="C10" s="6" t="s">
        <v>19</v>
      </c>
    </row>
    <row r="11" customFormat="false" ht="15" hidden="false" customHeight="false" outlineLevel="0" collapsed="false">
      <c r="A11" s="4" t="s">
        <v>20</v>
      </c>
      <c r="B11" s="7" t="n">
        <v>0.05</v>
      </c>
      <c r="C11" s="6" t="s">
        <v>21</v>
      </c>
    </row>
    <row r="12" customFormat="false" ht="15" hidden="false" customHeight="false" outlineLevel="0" collapsed="false">
      <c r="A12" s="4" t="s">
        <v>22</v>
      </c>
      <c r="B12" s="7" t="n">
        <v>0.03</v>
      </c>
      <c r="C12" s="6" t="s">
        <v>23</v>
      </c>
    </row>
    <row r="13" customFormat="false" ht="15" hidden="false" customHeight="false" outlineLevel="0" collapsed="false">
      <c r="A13" s="4" t="s">
        <v>24</v>
      </c>
      <c r="B13" s="7" t="n">
        <v>0.46</v>
      </c>
      <c r="C13" s="6" t="n">
        <f aca="false">1-(1-0.05)^12</f>
        <v>0.459639912337363</v>
      </c>
    </row>
    <row r="14" customFormat="false" ht="15" hidden="false" customHeight="false" outlineLevel="0" collapsed="false">
      <c r="A14" s="4" t="s">
        <v>25</v>
      </c>
      <c r="B14" s="7" t="n">
        <v>0.31</v>
      </c>
      <c r="C14" s="6" t="n">
        <f aca="false">1-(1-0.03)^12</f>
        <v>0.306157639004562</v>
      </c>
    </row>
    <row r="16" customFormat="false" ht="15" hidden="false" customHeight="false" outlineLevel="0" collapsed="false">
      <c r="A16" s="2" t="s">
        <v>26</v>
      </c>
      <c r="B16" s="3"/>
      <c r="C16" s="3"/>
    </row>
    <row r="17" customFormat="false" ht="15" hidden="false" customHeight="false" outlineLevel="0" collapsed="false">
      <c r="A17" s="4" t="s">
        <v>27</v>
      </c>
      <c r="B17" s="8" t="n">
        <v>2</v>
      </c>
      <c r="C17" s="6" t="s">
        <v>28</v>
      </c>
    </row>
    <row r="18" customFormat="false" ht="15" hidden="false" customHeight="false" outlineLevel="0" collapsed="false">
      <c r="A18" s="4" t="s">
        <v>29</v>
      </c>
      <c r="B18" s="8" t="n">
        <v>4</v>
      </c>
      <c r="C18" s="6" t="s">
        <v>30</v>
      </c>
    </row>
    <row r="19" customFormat="false" ht="15" hidden="false" customHeight="false" outlineLevel="0" collapsed="false">
      <c r="A19" s="4" t="s">
        <v>31</v>
      </c>
      <c r="B19" s="8" t="n">
        <v>7</v>
      </c>
      <c r="C19" s="6" t="s">
        <v>32</v>
      </c>
    </row>
    <row r="20" customFormat="false" ht="15" hidden="false" customHeight="false" outlineLevel="0" collapsed="false">
      <c r="A20" s="4" t="s">
        <v>33</v>
      </c>
      <c r="B20" s="5" t="n">
        <v>10</v>
      </c>
      <c r="C20" s="6" t="s">
        <v>34</v>
      </c>
    </row>
    <row r="21" customFormat="false" ht="15" hidden="false" customHeight="false" outlineLevel="0" collapsed="false">
      <c r="A21" s="4" t="s">
        <v>35</v>
      </c>
      <c r="B21" s="5" t="n">
        <v>14</v>
      </c>
      <c r="C21" s="6" t="s">
        <v>36</v>
      </c>
    </row>
    <row r="22" customFormat="false" ht="15" hidden="false" customHeight="false" outlineLevel="0" collapsed="false">
      <c r="A22" s="4" t="s">
        <v>37</v>
      </c>
      <c r="B22" s="5" t="n">
        <v>20</v>
      </c>
      <c r="C22" s="6" t="s">
        <v>38</v>
      </c>
    </row>
    <row r="23" customFormat="false" ht="15" hidden="false" customHeight="false" outlineLevel="0" collapsed="false">
      <c r="A23" s="4" t="s">
        <v>39</v>
      </c>
      <c r="B23" s="5" t="n">
        <v>30</v>
      </c>
      <c r="C23" s="6" t="s">
        <v>40</v>
      </c>
    </row>
    <row r="25" customFormat="false" ht="15" hidden="false" customHeight="false" outlineLevel="0" collapsed="false">
      <c r="A25" s="2" t="s">
        <v>41</v>
      </c>
      <c r="B25" s="3"/>
      <c r="C25" s="3"/>
    </row>
    <row r="26" customFormat="false" ht="15" hidden="false" customHeight="false" outlineLevel="0" collapsed="false">
      <c r="A26" s="4" t="s">
        <v>42</v>
      </c>
      <c r="B26" s="8" t="n">
        <v>0</v>
      </c>
      <c r="C26" s="6" t="s">
        <v>43</v>
      </c>
    </row>
    <row r="27" customFormat="false" ht="15" hidden="false" customHeight="false" outlineLevel="0" collapsed="false">
      <c r="A27" s="4" t="s">
        <v>44</v>
      </c>
      <c r="B27" s="5" t="n">
        <v>10000</v>
      </c>
      <c r="C27" s="6" t="s">
        <v>45</v>
      </c>
    </row>
    <row r="28" customFormat="false" ht="15" hidden="false" customHeight="false" outlineLevel="0" collapsed="false">
      <c r="A28" s="4" t="s">
        <v>46</v>
      </c>
      <c r="B28" s="7" t="n">
        <v>0.2</v>
      </c>
      <c r="C28" s="6" t="s">
        <v>47</v>
      </c>
    </row>
    <row r="30" customFormat="false" ht="15" hidden="false" customHeight="false" outlineLevel="0" collapsed="false">
      <c r="A30" s="2" t="s">
        <v>48</v>
      </c>
      <c r="B30" s="3"/>
      <c r="C30" s="3"/>
    </row>
    <row r="31" customFormat="false" ht="15" hidden="false" customHeight="false" outlineLevel="0" collapsed="false">
      <c r="A31" s="4" t="s">
        <v>49</v>
      </c>
      <c r="B31" s="5" t="n">
        <v>500</v>
      </c>
      <c r="C31" s="6" t="s">
        <v>50</v>
      </c>
    </row>
    <row r="32" customFormat="false" ht="15" hidden="false" customHeight="false" outlineLevel="0" collapsed="false">
      <c r="A32" s="4" t="s">
        <v>51</v>
      </c>
      <c r="B32" s="5" t="n">
        <v>1000</v>
      </c>
      <c r="C32" s="6" t="s">
        <v>52</v>
      </c>
    </row>
    <row r="33" customFormat="false" ht="15" hidden="false" customHeight="false" outlineLevel="0" collapsed="false">
      <c r="A33" s="4" t="s">
        <v>53</v>
      </c>
      <c r="B33" s="5" t="n">
        <v>400</v>
      </c>
      <c r="C33" s="6" t="s">
        <v>54</v>
      </c>
    </row>
    <row r="34" customFormat="false" ht="15" hidden="false" customHeight="false" outlineLevel="0" collapsed="false">
      <c r="A34" s="4" t="s">
        <v>55</v>
      </c>
      <c r="B34" s="5" t="n">
        <v>100</v>
      </c>
      <c r="C34" s="6" t="s">
        <v>56</v>
      </c>
    </row>
    <row r="35" customFormat="false" ht="15" hidden="false" customHeight="false" outlineLevel="0" collapsed="false">
      <c r="A35" s="4" t="s">
        <v>57</v>
      </c>
      <c r="B35" s="8" t="n">
        <v>0</v>
      </c>
      <c r="C35" s="6" t="s">
        <v>58</v>
      </c>
    </row>
    <row r="36" customFormat="false" ht="15" hidden="false" customHeight="false" outlineLevel="0" collapsed="false">
      <c r="A36" s="4" t="s">
        <v>59</v>
      </c>
      <c r="B36" s="5" t="n">
        <v>500</v>
      </c>
      <c r="C36" s="6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true"/>
  </sheetPr>
  <dimension ref="A1:AA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5" min="2" style="0" width="13"/>
    <col collapsed="false" customWidth="true" hidden="false" outlineLevel="0" max="27" min="26" style="0" width="15"/>
  </cols>
  <sheetData>
    <row r="1" customFormat="false" ht="15" hidden="false" customHeight="false" outlineLevel="0" collapsed="false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</row>
    <row r="2" customFormat="false" ht="15" hidden="false" customHeight="false" outlineLevel="0" collapsed="false">
      <c r="A2" s="2" t="s">
        <v>88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Format="false" ht="15" hidden="false" customHeight="false" outlineLevel="0" collapsed="false">
      <c r="A3" s="4" t="s">
        <v>89</v>
      </c>
      <c r="B3" s="5" t="n">
        <v>2</v>
      </c>
      <c r="C3" s="5" t="n">
        <v>3</v>
      </c>
      <c r="D3" s="5" t="n">
        <v>4</v>
      </c>
      <c r="E3" s="5" t="n">
        <v>5</v>
      </c>
      <c r="F3" s="5" t="n">
        <v>5</v>
      </c>
      <c r="G3" s="5" t="n">
        <v>7</v>
      </c>
      <c r="H3" s="5" t="n">
        <v>8</v>
      </c>
      <c r="I3" s="5" t="n">
        <v>9</v>
      </c>
      <c r="J3" s="5" t="n">
        <v>10</v>
      </c>
      <c r="K3" s="5" t="n">
        <v>12</v>
      </c>
      <c r="L3" s="5" t="n">
        <v>13</v>
      </c>
      <c r="M3" s="5" t="n">
        <v>14</v>
      </c>
      <c r="N3" s="5" t="n">
        <v>15</v>
      </c>
      <c r="O3" s="5" t="n">
        <v>16</v>
      </c>
      <c r="P3" s="5" t="n">
        <v>17</v>
      </c>
      <c r="Q3" s="5" t="n">
        <v>18</v>
      </c>
      <c r="R3" s="5" t="n">
        <v>19</v>
      </c>
      <c r="S3" s="5" t="n">
        <v>20</v>
      </c>
      <c r="T3" s="5" t="n">
        <v>22</v>
      </c>
      <c r="U3" s="5" t="n">
        <v>24</v>
      </c>
      <c r="V3" s="5" t="n">
        <v>26</v>
      </c>
      <c r="W3" s="5" t="n">
        <v>28</v>
      </c>
      <c r="X3" s="5" t="n">
        <v>29</v>
      </c>
      <c r="Y3" s="5" t="n">
        <v>30</v>
      </c>
      <c r="Z3" s="9" t="n">
        <f aca="false">SUM(B3:M3)</f>
        <v>92</v>
      </c>
      <c r="AA3" s="9" t="n">
        <f aca="false">SUM(N3:Y3)</f>
        <v>264</v>
      </c>
    </row>
    <row r="4" customFormat="false" ht="15" hidden="false" customHeight="false" outlineLevel="0" collapsed="false">
      <c r="A4" s="4" t="s">
        <v>90</v>
      </c>
      <c r="B4" s="10" t="n">
        <v>0</v>
      </c>
      <c r="C4" s="10" t="n">
        <f aca="false">ROUND(B5*0.05,0)</f>
        <v>0</v>
      </c>
      <c r="D4" s="10" t="n">
        <f aca="false">ROUND(C5*0.05,0)</f>
        <v>0</v>
      </c>
      <c r="E4" s="10" t="n">
        <f aca="false">ROUND(D5*0.05,0)</f>
        <v>0</v>
      </c>
      <c r="F4" s="10" t="n">
        <f aca="false">ROUND(E5*0.05,0)</f>
        <v>1</v>
      </c>
      <c r="G4" s="10" t="n">
        <f aca="false">ROUND(F5*0.05,0)</f>
        <v>1</v>
      </c>
      <c r="H4" s="10" t="n">
        <f aca="false">ROUND(G5*0.05,0)</f>
        <v>1</v>
      </c>
      <c r="I4" s="10" t="n">
        <f aca="false">ROUND(H5*0.05,0)</f>
        <v>2</v>
      </c>
      <c r="J4" s="10" t="n">
        <f aca="false">ROUND(I5*0.05,0)</f>
        <v>2</v>
      </c>
      <c r="K4" s="10" t="n">
        <f aca="false">ROUND(J5*0.05,0)</f>
        <v>2</v>
      </c>
      <c r="L4" s="10" t="n">
        <f aca="false">ROUND(K5*0.05,0)</f>
        <v>3</v>
      </c>
      <c r="M4" s="10" t="n">
        <f aca="false">ROUND(L5*0.05,0)</f>
        <v>3</v>
      </c>
      <c r="N4" s="10" t="n">
        <f aca="false">ROUND(M5*0.03,0)</f>
        <v>2</v>
      </c>
      <c r="O4" s="10" t="n">
        <f aca="false">ROUND(N5*0.03,0)</f>
        <v>3</v>
      </c>
      <c r="P4" s="10" t="n">
        <f aca="false">ROUND(O5*0.03,0)</f>
        <v>3</v>
      </c>
      <c r="Q4" s="10" t="n">
        <f aca="false">ROUND(P5*0.03,0)</f>
        <v>4</v>
      </c>
      <c r="R4" s="10" t="n">
        <f aca="false">ROUND(Q5*0.03,0)</f>
        <v>4</v>
      </c>
      <c r="S4" s="10" t="n">
        <f aca="false">ROUND(R5*0.03,0)</f>
        <v>4</v>
      </c>
      <c r="T4" s="10" t="n">
        <f aca="false">ROUND(S5*0.03,0)</f>
        <v>5</v>
      </c>
      <c r="U4" s="10" t="n">
        <f aca="false">ROUND(T5*0.03,0)</f>
        <v>5</v>
      </c>
      <c r="V4" s="10" t="n">
        <f aca="false">ROUND(U5*0.03,0)</f>
        <v>6</v>
      </c>
      <c r="W4" s="10" t="n">
        <f aca="false">ROUND(V5*0.03,0)</f>
        <v>7</v>
      </c>
      <c r="X4" s="10" t="n">
        <f aca="false">ROUND(W5*0.03,0)</f>
        <v>7</v>
      </c>
      <c r="Y4" s="10" t="n">
        <f aca="false">ROUND(X5*0.03,0)</f>
        <v>8</v>
      </c>
      <c r="Z4" s="10" t="n">
        <f aca="false">SUM(B4:M4)</f>
        <v>15</v>
      </c>
      <c r="AA4" s="10" t="n">
        <f aca="false">SUM(N4:Y4)</f>
        <v>58</v>
      </c>
    </row>
    <row r="5" customFormat="false" ht="15" hidden="false" customHeight="false" outlineLevel="0" collapsed="false">
      <c r="A5" s="4" t="s">
        <v>91</v>
      </c>
      <c r="B5" s="10" t="n">
        <f aca="false">B3-B4</f>
        <v>2</v>
      </c>
      <c r="C5" s="10" t="n">
        <f aca="false">B5+C3-C4</f>
        <v>5</v>
      </c>
      <c r="D5" s="10" t="n">
        <f aca="false">C5+D3-D4</f>
        <v>9</v>
      </c>
      <c r="E5" s="10" t="n">
        <f aca="false">D5+E3-E4</f>
        <v>14</v>
      </c>
      <c r="F5" s="10" t="n">
        <f aca="false">E5+F3-F4</f>
        <v>18</v>
      </c>
      <c r="G5" s="10" t="n">
        <f aca="false">F5+G3-G4</f>
        <v>24</v>
      </c>
      <c r="H5" s="10" t="n">
        <f aca="false">G5+H3-H4</f>
        <v>31</v>
      </c>
      <c r="I5" s="10" t="n">
        <f aca="false">H5+I3-I4</f>
        <v>38</v>
      </c>
      <c r="J5" s="10" t="n">
        <f aca="false">I5+J3-J4</f>
        <v>46</v>
      </c>
      <c r="K5" s="10" t="n">
        <f aca="false">J5+K3-K4</f>
        <v>56</v>
      </c>
      <c r="L5" s="10" t="n">
        <f aca="false">K5+L3-L4</f>
        <v>66</v>
      </c>
      <c r="M5" s="10" t="n">
        <f aca="false">L5+M3-M4</f>
        <v>77</v>
      </c>
      <c r="N5" s="10" t="n">
        <f aca="false">M5+N3-N4</f>
        <v>90</v>
      </c>
      <c r="O5" s="10" t="n">
        <f aca="false">N5+O3-O4</f>
        <v>103</v>
      </c>
      <c r="P5" s="10" t="n">
        <f aca="false">O5+P3-P4</f>
        <v>117</v>
      </c>
      <c r="Q5" s="10" t="n">
        <f aca="false">P5+Q3-Q4</f>
        <v>131</v>
      </c>
      <c r="R5" s="10" t="n">
        <f aca="false">Q5+R3-R4</f>
        <v>146</v>
      </c>
      <c r="S5" s="10" t="n">
        <f aca="false">R5+S3-S4</f>
        <v>162</v>
      </c>
      <c r="T5" s="10" t="n">
        <f aca="false">S5+T3-T4</f>
        <v>179</v>
      </c>
      <c r="U5" s="10" t="n">
        <f aca="false">T5+U3-U4</f>
        <v>198</v>
      </c>
      <c r="V5" s="10" t="n">
        <f aca="false">U5+V3-V4</f>
        <v>218</v>
      </c>
      <c r="W5" s="10" t="n">
        <f aca="false">V5+W3-W4</f>
        <v>239</v>
      </c>
      <c r="X5" s="10" t="n">
        <f aca="false">W5+X3-X4</f>
        <v>261</v>
      </c>
      <c r="Y5" s="10" t="n">
        <f aca="false">X5+Y3-Y4</f>
        <v>283</v>
      </c>
      <c r="Z5" s="10" t="n">
        <f aca="false">M5</f>
        <v>77</v>
      </c>
      <c r="AA5" s="10" t="n">
        <f aca="false">Y5</f>
        <v>283</v>
      </c>
    </row>
    <row r="6" customFormat="false" ht="15" hidden="false" customHeight="false" outlineLevel="0" collapsed="false">
      <c r="A6" s="4" t="s">
        <v>92</v>
      </c>
      <c r="B6" s="5" t="n">
        <v>400</v>
      </c>
      <c r="C6" s="5" t="n">
        <v>400</v>
      </c>
      <c r="D6" s="5" t="n">
        <v>400</v>
      </c>
      <c r="E6" s="5" t="n">
        <v>400</v>
      </c>
      <c r="F6" s="5" t="n">
        <v>400</v>
      </c>
      <c r="G6" s="5" t="n">
        <v>400</v>
      </c>
      <c r="H6" s="5" t="n">
        <v>400</v>
      </c>
      <c r="I6" s="5" t="n">
        <v>400</v>
      </c>
      <c r="J6" s="5" t="n">
        <v>400</v>
      </c>
      <c r="K6" s="5" t="n">
        <v>400</v>
      </c>
      <c r="L6" s="5" t="n">
        <v>400</v>
      </c>
      <c r="M6" s="5" t="n">
        <v>400</v>
      </c>
      <c r="N6" s="5" t="n">
        <v>460</v>
      </c>
      <c r="O6" s="5" t="n">
        <v>460</v>
      </c>
      <c r="P6" s="5" t="n">
        <v>460</v>
      </c>
      <c r="Q6" s="5" t="n">
        <v>460</v>
      </c>
      <c r="R6" s="5" t="n">
        <v>460</v>
      </c>
      <c r="S6" s="5" t="n">
        <v>460</v>
      </c>
      <c r="T6" s="5" t="n">
        <v>460</v>
      </c>
      <c r="U6" s="5" t="n">
        <v>460</v>
      </c>
      <c r="V6" s="5" t="n">
        <v>460</v>
      </c>
      <c r="W6" s="5" t="n">
        <v>460</v>
      </c>
      <c r="X6" s="5" t="n">
        <v>460</v>
      </c>
      <c r="Y6" s="5" t="n">
        <v>460</v>
      </c>
      <c r="Z6" s="9" t="n">
        <f aca="false">AVERAGE(B6:M6)</f>
        <v>400</v>
      </c>
      <c r="AA6" s="9" t="n">
        <f aca="false">AVERAGE(N6:Y6)</f>
        <v>460</v>
      </c>
    </row>
    <row r="7" customFormat="false" ht="15" hidden="false" customHeight="false" outlineLevel="0" collapsed="false">
      <c r="A7" s="4" t="s">
        <v>93</v>
      </c>
      <c r="B7" s="9" t="n">
        <f aca="false">B5*B6</f>
        <v>800</v>
      </c>
      <c r="C7" s="9" t="n">
        <f aca="false">C5*C6</f>
        <v>2000</v>
      </c>
      <c r="D7" s="9" t="n">
        <f aca="false">D5*D6</f>
        <v>3600</v>
      </c>
      <c r="E7" s="9" t="n">
        <f aca="false">E5*E6</f>
        <v>5600</v>
      </c>
      <c r="F7" s="9" t="n">
        <f aca="false">F5*F6</f>
        <v>7200</v>
      </c>
      <c r="G7" s="9" t="n">
        <f aca="false">G5*G6</f>
        <v>9600</v>
      </c>
      <c r="H7" s="9" t="n">
        <f aca="false">H5*H6</f>
        <v>12400</v>
      </c>
      <c r="I7" s="9" t="n">
        <f aca="false">I5*I6</f>
        <v>15200</v>
      </c>
      <c r="J7" s="9" t="n">
        <f aca="false">J5*J6</f>
        <v>18400</v>
      </c>
      <c r="K7" s="9" t="n">
        <f aca="false">K5*K6</f>
        <v>22400</v>
      </c>
      <c r="L7" s="9" t="n">
        <f aca="false">L5*L6</f>
        <v>26400</v>
      </c>
      <c r="M7" s="9" t="n">
        <f aca="false">M5*M6</f>
        <v>30800</v>
      </c>
      <c r="N7" s="9" t="n">
        <f aca="false">N5*N6</f>
        <v>41400</v>
      </c>
      <c r="O7" s="9" t="n">
        <f aca="false">O5*O6</f>
        <v>47380</v>
      </c>
      <c r="P7" s="9" t="n">
        <f aca="false">P5*P6</f>
        <v>53820</v>
      </c>
      <c r="Q7" s="9" t="n">
        <f aca="false">Q5*Q6</f>
        <v>60260</v>
      </c>
      <c r="R7" s="9" t="n">
        <f aca="false">R5*R6</f>
        <v>67160</v>
      </c>
      <c r="S7" s="9" t="n">
        <f aca="false">S5*S6</f>
        <v>74520</v>
      </c>
      <c r="T7" s="9" t="n">
        <f aca="false">T5*T6</f>
        <v>82340</v>
      </c>
      <c r="U7" s="9" t="n">
        <f aca="false">U5*U6</f>
        <v>91080</v>
      </c>
      <c r="V7" s="9" t="n">
        <f aca="false">V5*V6</f>
        <v>100280</v>
      </c>
      <c r="W7" s="9" t="n">
        <f aca="false">W5*W6</f>
        <v>109940</v>
      </c>
      <c r="X7" s="9" t="n">
        <f aca="false">X5*X6</f>
        <v>120060</v>
      </c>
      <c r="Y7" s="9" t="n">
        <f aca="false">Y5*Y6</f>
        <v>130180</v>
      </c>
      <c r="Z7" s="9" t="n">
        <f aca="false">SUM(B7:M7)</f>
        <v>154400</v>
      </c>
      <c r="AA7" s="9" t="n">
        <f aca="false">SUM(N7:Y7)</f>
        <v>978420</v>
      </c>
    </row>
    <row r="8" customFormat="false" ht="15" hidden="false" customHeight="false" outlineLevel="0" collapsed="false">
      <c r="A8" s="4" t="s">
        <v>94</v>
      </c>
      <c r="B8" s="9" t="n">
        <f aca="false">B3*250</f>
        <v>500</v>
      </c>
      <c r="C8" s="9" t="n">
        <f aca="false">C3*250</f>
        <v>750</v>
      </c>
      <c r="D8" s="9" t="n">
        <f aca="false">D3*250</f>
        <v>1000</v>
      </c>
      <c r="E8" s="9" t="n">
        <f aca="false">E3*250</f>
        <v>1250</v>
      </c>
      <c r="F8" s="9" t="n">
        <f aca="false">F3*250</f>
        <v>1250</v>
      </c>
      <c r="G8" s="9" t="n">
        <f aca="false">G3*250</f>
        <v>1750</v>
      </c>
      <c r="H8" s="9" t="n">
        <f aca="false">H3*250</f>
        <v>2000</v>
      </c>
      <c r="I8" s="9" t="n">
        <f aca="false">I3*250</f>
        <v>2250</v>
      </c>
      <c r="J8" s="9" t="n">
        <f aca="false">J3*250</f>
        <v>2500</v>
      </c>
      <c r="K8" s="9" t="n">
        <f aca="false">K3*250</f>
        <v>3000</v>
      </c>
      <c r="L8" s="9" t="n">
        <f aca="false">L3*250</f>
        <v>3250</v>
      </c>
      <c r="M8" s="9" t="n">
        <f aca="false">M3*250</f>
        <v>3500</v>
      </c>
      <c r="N8" s="9" t="n">
        <f aca="false">N3*250</f>
        <v>3750</v>
      </c>
      <c r="O8" s="9" t="n">
        <f aca="false">O3*250</f>
        <v>4000</v>
      </c>
      <c r="P8" s="9" t="n">
        <f aca="false">P3*250</f>
        <v>4250</v>
      </c>
      <c r="Q8" s="9" t="n">
        <f aca="false">Q3*250</f>
        <v>4500</v>
      </c>
      <c r="R8" s="9" t="n">
        <f aca="false">R3*250</f>
        <v>4750</v>
      </c>
      <c r="S8" s="9" t="n">
        <f aca="false">S3*250</f>
        <v>5000</v>
      </c>
      <c r="T8" s="9" t="n">
        <f aca="false">T3*250</f>
        <v>5500</v>
      </c>
      <c r="U8" s="9" t="n">
        <f aca="false">U3*250</f>
        <v>6000</v>
      </c>
      <c r="V8" s="9" t="n">
        <f aca="false">V3*250</f>
        <v>6500</v>
      </c>
      <c r="W8" s="9" t="n">
        <f aca="false">W3*250</f>
        <v>7000</v>
      </c>
      <c r="X8" s="9" t="n">
        <f aca="false">X3*250</f>
        <v>7250</v>
      </c>
      <c r="Y8" s="9" t="n">
        <f aca="false">Y3*250</f>
        <v>7500</v>
      </c>
      <c r="Z8" s="9" t="n">
        <f aca="false">SUM(B8:M8)</f>
        <v>23000</v>
      </c>
      <c r="AA8" s="9" t="n">
        <f aca="false">SUM(N8:Y8)</f>
        <v>66000</v>
      </c>
    </row>
    <row r="9" customFormat="false" ht="15" hidden="false" customHeight="false" outlineLevel="0" collapsed="false">
      <c r="A9" s="11" t="s">
        <v>95</v>
      </c>
      <c r="B9" s="12" t="n">
        <f aca="false">B7+B8</f>
        <v>1300</v>
      </c>
      <c r="C9" s="12" t="n">
        <f aca="false">C7+C8</f>
        <v>2750</v>
      </c>
      <c r="D9" s="12" t="n">
        <f aca="false">D7+D8</f>
        <v>4600</v>
      </c>
      <c r="E9" s="12" t="n">
        <f aca="false">E7+E8</f>
        <v>6850</v>
      </c>
      <c r="F9" s="12" t="n">
        <f aca="false">F7+F8</f>
        <v>8450</v>
      </c>
      <c r="G9" s="12" t="n">
        <f aca="false">G7+G8</f>
        <v>11350</v>
      </c>
      <c r="H9" s="12" t="n">
        <f aca="false">H7+H8</f>
        <v>14400</v>
      </c>
      <c r="I9" s="12" t="n">
        <f aca="false">I7+I8</f>
        <v>17450</v>
      </c>
      <c r="J9" s="12" t="n">
        <f aca="false">J7+J8</f>
        <v>20900</v>
      </c>
      <c r="K9" s="12" t="n">
        <f aca="false">K7+K8</f>
        <v>25400</v>
      </c>
      <c r="L9" s="12" t="n">
        <f aca="false">L7+L8</f>
        <v>29650</v>
      </c>
      <c r="M9" s="12" t="n">
        <f aca="false">M7+M8</f>
        <v>34300</v>
      </c>
      <c r="N9" s="12" t="n">
        <f aca="false">N7+N8</f>
        <v>45150</v>
      </c>
      <c r="O9" s="12" t="n">
        <f aca="false">O7+O8</f>
        <v>51380</v>
      </c>
      <c r="P9" s="12" t="n">
        <f aca="false">P7+P8</f>
        <v>58070</v>
      </c>
      <c r="Q9" s="12" t="n">
        <f aca="false">Q7+Q8</f>
        <v>64760</v>
      </c>
      <c r="R9" s="12" t="n">
        <f aca="false">R7+R8</f>
        <v>71910</v>
      </c>
      <c r="S9" s="12" t="n">
        <f aca="false">S7+S8</f>
        <v>79520</v>
      </c>
      <c r="T9" s="12" t="n">
        <f aca="false">T7+T8</f>
        <v>87840</v>
      </c>
      <c r="U9" s="12" t="n">
        <f aca="false">U7+U8</f>
        <v>97080</v>
      </c>
      <c r="V9" s="12" t="n">
        <f aca="false">V7+V8</f>
        <v>106780</v>
      </c>
      <c r="W9" s="12" t="n">
        <f aca="false">W7+W8</f>
        <v>116940</v>
      </c>
      <c r="X9" s="12" t="n">
        <f aca="false">X7+X8</f>
        <v>127310</v>
      </c>
      <c r="Y9" s="12" t="n">
        <f aca="false">Y7+Y8</f>
        <v>137680</v>
      </c>
      <c r="Z9" s="12" t="n">
        <f aca="false">SUM(B9:M9)</f>
        <v>177400</v>
      </c>
      <c r="AA9" s="12" t="n">
        <f aca="false">SUM(N9:Y9)</f>
        <v>1044420</v>
      </c>
    </row>
    <row r="11" customFormat="false" ht="15" hidden="false" customHeight="false" outlineLevel="0" collapsed="false">
      <c r="A11" s="2" t="s">
        <v>96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customFormat="false" ht="15" hidden="false" customHeight="false" outlineLevel="0" collapsed="false">
      <c r="A12" s="4" t="s">
        <v>97</v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4167</v>
      </c>
      <c r="I12" s="5" t="n">
        <v>4167</v>
      </c>
      <c r="J12" s="5" t="n">
        <v>4167</v>
      </c>
      <c r="K12" s="5" t="n">
        <v>4167</v>
      </c>
      <c r="L12" s="5" t="n">
        <v>4167</v>
      </c>
      <c r="M12" s="5" t="n">
        <v>4167</v>
      </c>
      <c r="N12" s="5" t="n">
        <v>4583</v>
      </c>
      <c r="O12" s="5" t="n">
        <v>4583</v>
      </c>
      <c r="P12" s="5" t="n">
        <v>4583</v>
      </c>
      <c r="Q12" s="5" t="n">
        <v>4583</v>
      </c>
      <c r="R12" s="5" t="n">
        <v>4583</v>
      </c>
      <c r="S12" s="5" t="n">
        <v>4583</v>
      </c>
      <c r="T12" s="5" t="n">
        <v>4583</v>
      </c>
      <c r="U12" s="5" t="n">
        <v>4583</v>
      </c>
      <c r="V12" s="5" t="n">
        <v>4583</v>
      </c>
      <c r="W12" s="5" t="n">
        <v>4583</v>
      </c>
      <c r="X12" s="5" t="n">
        <v>4583</v>
      </c>
      <c r="Y12" s="5" t="n">
        <v>4583</v>
      </c>
      <c r="Z12" s="9" t="n">
        <f aca="false">SUM(B12:M12)</f>
        <v>25002</v>
      </c>
      <c r="AA12" s="9" t="n">
        <f aca="false">SUM(N12:Y12)</f>
        <v>54996</v>
      </c>
    </row>
    <row r="13" customFormat="false" ht="15" hidden="false" customHeight="false" outlineLevel="0" collapsed="false">
      <c r="A13" s="4" t="s">
        <v>98</v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5417</v>
      </c>
      <c r="O13" s="5" t="n">
        <v>5417</v>
      </c>
      <c r="P13" s="5" t="n">
        <v>5417</v>
      </c>
      <c r="Q13" s="5" t="n">
        <v>5417</v>
      </c>
      <c r="R13" s="5" t="n">
        <v>5417</v>
      </c>
      <c r="S13" s="5" t="n">
        <v>5417</v>
      </c>
      <c r="T13" s="5" t="n">
        <v>5417</v>
      </c>
      <c r="U13" s="5" t="n">
        <v>5417</v>
      </c>
      <c r="V13" s="5" t="n">
        <v>5417</v>
      </c>
      <c r="W13" s="5" t="n">
        <v>5417</v>
      </c>
      <c r="X13" s="5" t="n">
        <v>5417</v>
      </c>
      <c r="Y13" s="5" t="n">
        <v>5417</v>
      </c>
      <c r="Z13" s="9" t="n">
        <f aca="false">SUM(B13:M13)</f>
        <v>0</v>
      </c>
      <c r="AA13" s="9" t="n">
        <f aca="false">SUM(N13:Y13)</f>
        <v>65004</v>
      </c>
    </row>
    <row r="14" customFormat="false" ht="15" hidden="false" customHeight="false" outlineLevel="0" collapsed="false">
      <c r="A14" s="4" t="s">
        <v>99</v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5417</v>
      </c>
      <c r="U14" s="5" t="n">
        <v>5417</v>
      </c>
      <c r="V14" s="5" t="n">
        <v>5417</v>
      </c>
      <c r="W14" s="5" t="n">
        <v>5417</v>
      </c>
      <c r="X14" s="5" t="n">
        <v>5417</v>
      </c>
      <c r="Y14" s="5" t="n">
        <v>5417</v>
      </c>
      <c r="Z14" s="9" t="n">
        <f aca="false">SUM(B14:M14)</f>
        <v>0</v>
      </c>
      <c r="AA14" s="9" t="n">
        <f aca="false">SUM(N14:Y14)</f>
        <v>32502</v>
      </c>
    </row>
    <row r="15" customFormat="false" ht="15" hidden="false" customHeight="false" outlineLevel="0" collapsed="false">
      <c r="A15" s="4" t="s">
        <v>100</v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4167</v>
      </c>
      <c r="U15" s="5" t="n">
        <v>4167</v>
      </c>
      <c r="V15" s="5" t="n">
        <v>4167</v>
      </c>
      <c r="W15" s="5" t="n">
        <v>4167</v>
      </c>
      <c r="X15" s="5" t="n">
        <v>4167</v>
      </c>
      <c r="Y15" s="5" t="n">
        <v>4167</v>
      </c>
      <c r="Z15" s="9" t="n">
        <f aca="false">SUM(B15:M15)</f>
        <v>0</v>
      </c>
      <c r="AA15" s="9" t="n">
        <f aca="false">SUM(N15:Y15)</f>
        <v>25002</v>
      </c>
    </row>
    <row r="16" customFormat="false" ht="15" hidden="false" customHeight="false" outlineLevel="0" collapsed="false">
      <c r="A16" s="4" t="s">
        <v>101</v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4583</v>
      </c>
      <c r="O16" s="5" t="n">
        <v>4583</v>
      </c>
      <c r="P16" s="5" t="n">
        <v>4583</v>
      </c>
      <c r="Q16" s="5" t="n">
        <v>4583</v>
      </c>
      <c r="R16" s="5" t="n">
        <v>4583</v>
      </c>
      <c r="S16" s="5" t="n">
        <v>4583</v>
      </c>
      <c r="T16" s="5" t="n">
        <v>4583</v>
      </c>
      <c r="U16" s="5" t="n">
        <v>4583</v>
      </c>
      <c r="V16" s="5" t="n">
        <v>4583</v>
      </c>
      <c r="W16" s="5" t="n">
        <v>4583</v>
      </c>
      <c r="X16" s="5" t="n">
        <v>4583</v>
      </c>
      <c r="Y16" s="5" t="n">
        <v>4583</v>
      </c>
      <c r="Z16" s="9" t="n">
        <f aca="false">SUM(B16:M16)</f>
        <v>0</v>
      </c>
      <c r="AA16" s="9" t="n">
        <f aca="false">SUM(N16:Y16)</f>
        <v>54996</v>
      </c>
    </row>
    <row r="17" customFormat="false" ht="15" hidden="false" customHeight="false" outlineLevel="0" collapsed="false">
      <c r="A17" s="4" t="s">
        <v>102</v>
      </c>
      <c r="B17" s="9" t="n">
        <f aca="false">B3*B6*0.1</f>
        <v>80</v>
      </c>
      <c r="C17" s="9" t="n">
        <f aca="false">C3*C6*0.1</f>
        <v>120</v>
      </c>
      <c r="D17" s="9" t="n">
        <f aca="false">D3*D6*0.1</f>
        <v>160</v>
      </c>
      <c r="E17" s="9" t="n">
        <f aca="false">E3*E6*0.1</f>
        <v>200</v>
      </c>
      <c r="F17" s="9" t="n">
        <f aca="false">F3*F6*0.1</f>
        <v>200</v>
      </c>
      <c r="G17" s="9" t="n">
        <f aca="false">G3*G6*0.1</f>
        <v>280</v>
      </c>
      <c r="H17" s="9" t="n">
        <f aca="false">H3*H6*0.1</f>
        <v>320</v>
      </c>
      <c r="I17" s="9" t="n">
        <f aca="false">I3*I6*0.1</f>
        <v>360</v>
      </c>
      <c r="J17" s="9" t="n">
        <f aca="false">J3*J6*0.1</f>
        <v>400</v>
      </c>
      <c r="K17" s="9" t="n">
        <f aca="false">K3*K6*0.1</f>
        <v>480</v>
      </c>
      <c r="L17" s="9" t="n">
        <f aca="false">L3*L6*0.1</f>
        <v>520</v>
      </c>
      <c r="M17" s="9" t="n">
        <f aca="false">M3*M6*0.1</f>
        <v>560</v>
      </c>
      <c r="N17" s="9" t="n">
        <f aca="false">N3*N6*0.1</f>
        <v>690</v>
      </c>
      <c r="O17" s="9" t="n">
        <f aca="false">O3*O6*0.1</f>
        <v>736</v>
      </c>
      <c r="P17" s="9" t="n">
        <f aca="false">P3*P6*0.1</f>
        <v>782</v>
      </c>
      <c r="Q17" s="9" t="n">
        <f aca="false">Q3*Q6*0.1</f>
        <v>828</v>
      </c>
      <c r="R17" s="9" t="n">
        <f aca="false">R3*R6*0.1</f>
        <v>874</v>
      </c>
      <c r="S17" s="9" t="n">
        <f aca="false">S3*S6*0.1</f>
        <v>920</v>
      </c>
      <c r="T17" s="9" t="n">
        <f aca="false">T3*T6*0.1</f>
        <v>1012</v>
      </c>
      <c r="U17" s="9" t="n">
        <f aca="false">U3*U6*0.1</f>
        <v>1104</v>
      </c>
      <c r="V17" s="9" t="n">
        <f aca="false">V3*V6*0.1</f>
        <v>1196</v>
      </c>
      <c r="W17" s="9" t="n">
        <f aca="false">W3*W6*0.1</f>
        <v>1288</v>
      </c>
      <c r="X17" s="9" t="n">
        <f aca="false">X3*X6*0.1</f>
        <v>1334</v>
      </c>
      <c r="Y17" s="9" t="n">
        <f aca="false">Y3*Y6*0.1</f>
        <v>1380</v>
      </c>
      <c r="Z17" s="9" t="n">
        <f aca="false">SUM(B17:M17)</f>
        <v>3680</v>
      </c>
      <c r="AA17" s="9" t="n">
        <f aca="false">SUM(N17:Y17)</f>
        <v>12144</v>
      </c>
    </row>
    <row r="18" customFormat="false" ht="15" hidden="false" customHeight="false" outlineLevel="0" collapsed="false">
      <c r="A18" s="4" t="s">
        <v>103</v>
      </c>
      <c r="B18" s="5" t="n">
        <v>250</v>
      </c>
      <c r="C18" s="5" t="n">
        <v>250</v>
      </c>
      <c r="D18" s="5" t="n">
        <v>250</v>
      </c>
      <c r="E18" s="5" t="n">
        <v>250</v>
      </c>
      <c r="F18" s="5" t="n">
        <v>250</v>
      </c>
      <c r="G18" s="5" t="n">
        <v>250</v>
      </c>
      <c r="H18" s="5" t="n">
        <v>400</v>
      </c>
      <c r="I18" s="5" t="n">
        <v>400</v>
      </c>
      <c r="J18" s="5" t="n">
        <v>400</v>
      </c>
      <c r="K18" s="5" t="n">
        <v>400</v>
      </c>
      <c r="L18" s="5" t="n">
        <v>400</v>
      </c>
      <c r="M18" s="5" t="n">
        <v>400</v>
      </c>
      <c r="N18" s="5" t="n">
        <v>700</v>
      </c>
      <c r="O18" s="5" t="n">
        <v>700</v>
      </c>
      <c r="P18" s="5" t="n">
        <v>700</v>
      </c>
      <c r="Q18" s="5" t="n">
        <v>700</v>
      </c>
      <c r="R18" s="5" t="n">
        <v>700</v>
      </c>
      <c r="S18" s="5" t="n">
        <v>700</v>
      </c>
      <c r="T18" s="5" t="n">
        <v>900</v>
      </c>
      <c r="U18" s="5" t="n">
        <v>900</v>
      </c>
      <c r="V18" s="5" t="n">
        <v>900</v>
      </c>
      <c r="W18" s="5" t="n">
        <v>900</v>
      </c>
      <c r="X18" s="5" t="n">
        <v>900</v>
      </c>
      <c r="Y18" s="5" t="n">
        <v>900</v>
      </c>
      <c r="Z18" s="9" t="n">
        <f aca="false">SUM(B18:M18)</f>
        <v>3900</v>
      </c>
      <c r="AA18" s="9" t="n">
        <f aca="false">SUM(N18:Y18)</f>
        <v>9600</v>
      </c>
    </row>
    <row r="19" customFormat="false" ht="15" hidden="false" customHeight="false" outlineLevel="0" collapsed="false">
      <c r="A19" s="4" t="s">
        <v>104</v>
      </c>
      <c r="B19" s="5" t="n">
        <v>500</v>
      </c>
      <c r="C19" s="5" t="n">
        <v>500</v>
      </c>
      <c r="D19" s="5" t="n">
        <v>500</v>
      </c>
      <c r="E19" s="5" t="n">
        <v>1000</v>
      </c>
      <c r="F19" s="5" t="n">
        <v>1000</v>
      </c>
      <c r="G19" s="5" t="n">
        <v>1000</v>
      </c>
      <c r="H19" s="5" t="n">
        <v>1500</v>
      </c>
      <c r="I19" s="5" t="n">
        <v>1500</v>
      </c>
      <c r="J19" s="5" t="n">
        <v>1500</v>
      </c>
      <c r="K19" s="5" t="n">
        <v>1500</v>
      </c>
      <c r="L19" s="5" t="n">
        <v>1500</v>
      </c>
      <c r="M19" s="5" t="n">
        <v>1500</v>
      </c>
      <c r="N19" s="5" t="n">
        <v>2000</v>
      </c>
      <c r="O19" s="5" t="n">
        <v>2000</v>
      </c>
      <c r="P19" s="5" t="n">
        <v>2000</v>
      </c>
      <c r="Q19" s="5" t="n">
        <v>2000</v>
      </c>
      <c r="R19" s="5" t="n">
        <v>2000</v>
      </c>
      <c r="S19" s="5" t="n">
        <v>2000</v>
      </c>
      <c r="T19" s="5" t="n">
        <v>2500</v>
      </c>
      <c r="U19" s="5" t="n">
        <v>2500</v>
      </c>
      <c r="V19" s="5" t="n">
        <v>2500</v>
      </c>
      <c r="W19" s="5" t="n">
        <v>2500</v>
      </c>
      <c r="X19" s="5" t="n">
        <v>2500</v>
      </c>
      <c r="Y19" s="5" t="n">
        <v>2500</v>
      </c>
      <c r="Z19" s="9" t="n">
        <f aca="false">SUM(B19:M19)</f>
        <v>13500</v>
      </c>
      <c r="AA19" s="9" t="n">
        <f aca="false">SUM(N19:Y19)</f>
        <v>27000</v>
      </c>
    </row>
    <row r="20" customFormat="false" ht="15" hidden="false" customHeight="false" outlineLevel="0" collapsed="false">
      <c r="A20" s="4" t="s">
        <v>105</v>
      </c>
      <c r="B20" s="5" t="n">
        <v>300</v>
      </c>
      <c r="C20" s="5" t="n">
        <v>300</v>
      </c>
      <c r="D20" s="5" t="n">
        <v>300</v>
      </c>
      <c r="E20" s="5" t="n">
        <v>300</v>
      </c>
      <c r="F20" s="5" t="n">
        <v>300</v>
      </c>
      <c r="G20" s="5" t="n">
        <v>300</v>
      </c>
      <c r="H20" s="5" t="n">
        <v>500</v>
      </c>
      <c r="I20" s="5" t="n">
        <v>500</v>
      </c>
      <c r="J20" s="5" t="n">
        <v>500</v>
      </c>
      <c r="K20" s="5" t="n">
        <v>500</v>
      </c>
      <c r="L20" s="5" t="n">
        <v>500</v>
      </c>
      <c r="M20" s="5" t="n">
        <v>500</v>
      </c>
      <c r="N20" s="5" t="n">
        <v>700</v>
      </c>
      <c r="O20" s="5" t="n">
        <v>700</v>
      </c>
      <c r="P20" s="5" t="n">
        <v>700</v>
      </c>
      <c r="Q20" s="5" t="n">
        <v>700</v>
      </c>
      <c r="R20" s="5" t="n">
        <v>700</v>
      </c>
      <c r="S20" s="5" t="n">
        <v>700</v>
      </c>
      <c r="T20" s="5" t="n">
        <v>1000</v>
      </c>
      <c r="U20" s="5" t="n">
        <v>1000</v>
      </c>
      <c r="V20" s="5" t="n">
        <v>1000</v>
      </c>
      <c r="W20" s="5" t="n">
        <v>1000</v>
      </c>
      <c r="X20" s="5" t="n">
        <v>1000</v>
      </c>
      <c r="Y20" s="5" t="n">
        <v>1000</v>
      </c>
      <c r="Z20" s="9" t="n">
        <f aca="false">SUM(B20:M20)</f>
        <v>4800</v>
      </c>
      <c r="AA20" s="9" t="n">
        <f aca="false">SUM(N20:Y20)</f>
        <v>10200</v>
      </c>
    </row>
    <row r="21" customFormat="false" ht="15" hidden="false" customHeight="false" outlineLevel="0" collapsed="false">
      <c r="A21" s="4" t="s">
        <v>106</v>
      </c>
      <c r="B21" s="5" t="n">
        <v>0</v>
      </c>
      <c r="C21" s="5" t="n">
        <v>0</v>
      </c>
      <c r="D21" s="5" t="n">
        <v>0</v>
      </c>
      <c r="E21" s="5" t="n">
        <v>100</v>
      </c>
      <c r="F21" s="5" t="n">
        <v>100</v>
      </c>
      <c r="G21" s="5" t="n">
        <v>100</v>
      </c>
      <c r="H21" s="5" t="n">
        <v>300</v>
      </c>
      <c r="I21" s="5" t="n">
        <v>300</v>
      </c>
      <c r="J21" s="5" t="n">
        <v>300</v>
      </c>
      <c r="K21" s="5" t="n">
        <v>300</v>
      </c>
      <c r="L21" s="5" t="n">
        <v>300</v>
      </c>
      <c r="M21" s="5" t="n">
        <v>300</v>
      </c>
      <c r="N21" s="5" t="n">
        <v>500</v>
      </c>
      <c r="O21" s="5" t="n">
        <v>500</v>
      </c>
      <c r="P21" s="5" t="n">
        <v>500</v>
      </c>
      <c r="Q21" s="5" t="n">
        <v>500</v>
      </c>
      <c r="R21" s="5" t="n">
        <v>500</v>
      </c>
      <c r="S21" s="5" t="n">
        <v>500</v>
      </c>
      <c r="T21" s="5" t="n">
        <v>800</v>
      </c>
      <c r="U21" s="5" t="n">
        <v>800</v>
      </c>
      <c r="V21" s="5" t="n">
        <v>800</v>
      </c>
      <c r="W21" s="5" t="n">
        <v>800</v>
      </c>
      <c r="X21" s="5" t="n">
        <v>800</v>
      </c>
      <c r="Y21" s="5" t="n">
        <v>800</v>
      </c>
      <c r="Z21" s="9" t="n">
        <f aca="false">SUM(B21:M21)</f>
        <v>2100</v>
      </c>
      <c r="AA21" s="9" t="n">
        <f aca="false">SUM(N21:Y21)</f>
        <v>7800</v>
      </c>
    </row>
    <row r="22" customFormat="false" ht="15" hidden="false" customHeight="false" outlineLevel="0" collapsed="false">
      <c r="A22" s="4" t="s">
        <v>107</v>
      </c>
      <c r="B22" s="9" t="n">
        <f aca="false">(B12+B13+B14+B15+B16)*0.2</f>
        <v>0</v>
      </c>
      <c r="C22" s="9" t="n">
        <f aca="false">(C12+C13+C14+C15+C16)*0.2</f>
        <v>0</v>
      </c>
      <c r="D22" s="9" t="n">
        <f aca="false">(D12+D13+D14+D15+D16)*0.2</f>
        <v>0</v>
      </c>
      <c r="E22" s="9" t="n">
        <f aca="false">(E12+E13+E14+E15+E16)*0.2</f>
        <v>0</v>
      </c>
      <c r="F22" s="9" t="n">
        <f aca="false">(F12+F13+F14+F15+F16)*0.2</f>
        <v>0</v>
      </c>
      <c r="G22" s="9" t="n">
        <f aca="false">(G12+G13+G14+G15+G16)*0.2</f>
        <v>0</v>
      </c>
      <c r="H22" s="9" t="n">
        <f aca="false">(H12+H13+H14+H15+H16)*0.2</f>
        <v>833.4</v>
      </c>
      <c r="I22" s="9" t="n">
        <f aca="false">(I12+I13+I14+I15+I16)*0.2</f>
        <v>833.4</v>
      </c>
      <c r="J22" s="9" t="n">
        <f aca="false">(J12+J13+J14+J15+J16)*0.2</f>
        <v>833.4</v>
      </c>
      <c r="K22" s="9" t="n">
        <f aca="false">(K12+K13+K14+K15+K16)*0.2</f>
        <v>833.4</v>
      </c>
      <c r="L22" s="9" t="n">
        <f aca="false">(L12+L13+L14+L15+L16)*0.2</f>
        <v>833.4</v>
      </c>
      <c r="M22" s="9" t="n">
        <f aca="false">(M12+M13+M14+M15+M16)*0.2</f>
        <v>833.4</v>
      </c>
      <c r="N22" s="9" t="n">
        <f aca="false">(N12+N13+N14+N15+N16)*0.2</f>
        <v>2916.6</v>
      </c>
      <c r="O22" s="9" t="n">
        <f aca="false">(O12+O13+O14+O15+O16)*0.2</f>
        <v>2916.6</v>
      </c>
      <c r="P22" s="9" t="n">
        <f aca="false">(P12+P13+P14+P15+P16)*0.2</f>
        <v>2916.6</v>
      </c>
      <c r="Q22" s="9" t="n">
        <f aca="false">(Q12+Q13+Q14+Q15+Q16)*0.2</f>
        <v>2916.6</v>
      </c>
      <c r="R22" s="9" t="n">
        <f aca="false">(R12+R13+R14+R15+R16)*0.2</f>
        <v>2916.6</v>
      </c>
      <c r="S22" s="9" t="n">
        <f aca="false">(S12+S13+S14+S15+S16)*0.2</f>
        <v>2916.6</v>
      </c>
      <c r="T22" s="9" t="n">
        <f aca="false">(T12+T13+T14+T15+T16)*0.2</f>
        <v>4833.4</v>
      </c>
      <c r="U22" s="9" t="n">
        <f aca="false">(U12+U13+U14+U15+U16)*0.2</f>
        <v>4833.4</v>
      </c>
      <c r="V22" s="9" t="n">
        <f aca="false">(V12+V13+V14+V15+V16)*0.2</f>
        <v>4833.4</v>
      </c>
      <c r="W22" s="9" t="n">
        <f aca="false">(W12+W13+W14+W15+W16)*0.2</f>
        <v>4833.4</v>
      </c>
      <c r="X22" s="9" t="n">
        <f aca="false">(X12+X13+X14+X15+X16)*0.2</f>
        <v>4833.4</v>
      </c>
      <c r="Y22" s="9" t="n">
        <f aca="false">(Y12+Y13+Y14+Y15+Y16)*0.2</f>
        <v>4833.4</v>
      </c>
      <c r="Z22" s="9" t="n">
        <f aca="false">SUM(B22:M22)</f>
        <v>5000.4</v>
      </c>
      <c r="AA22" s="9" t="n">
        <f aca="false">SUM(N22:Y22)</f>
        <v>46500</v>
      </c>
    </row>
    <row r="23" customFormat="false" ht="15" hidden="false" customHeight="false" outlineLevel="0" collapsed="false">
      <c r="A23" s="11" t="s">
        <v>108</v>
      </c>
      <c r="B23" s="12" t="n">
        <f aca="false">B12+B13+B14+B15+B16+B17+B18+B19+B20+B21+B22</f>
        <v>1130</v>
      </c>
      <c r="C23" s="12" t="n">
        <f aca="false">C12+C13+C14+C15+C16+C17+C18+C19+C20+C21+C22</f>
        <v>1170</v>
      </c>
      <c r="D23" s="12" t="n">
        <f aca="false">D12+D13+D14+D15+D16+D17+D18+D19+D20+D21+D22</f>
        <v>1210</v>
      </c>
      <c r="E23" s="12" t="n">
        <f aca="false">E12+E13+E14+E15+E16+E17+E18+E19+E20+E21+E22</f>
        <v>1850</v>
      </c>
      <c r="F23" s="12" t="n">
        <f aca="false">F12+F13+F14+F15+F16+F17+F18+F19+F20+F21+F22</f>
        <v>1850</v>
      </c>
      <c r="G23" s="12" t="n">
        <f aca="false">G12+G13+G14+G15+G16+G17+G18+G19+G20+G21+G22</f>
        <v>1930</v>
      </c>
      <c r="H23" s="12" t="n">
        <f aca="false">H12+H13+H14+H15+H16+H17+H18+H19+H20+H21+H22</f>
        <v>8020.4</v>
      </c>
      <c r="I23" s="12" t="n">
        <f aca="false">I12+I13+I14+I15+I16+I17+I18+I19+I20+I21+I22</f>
        <v>8060.4</v>
      </c>
      <c r="J23" s="12" t="n">
        <f aca="false">J12+J13+J14+J15+J16+J17+J18+J19+J20+J21+J22</f>
        <v>8100.4</v>
      </c>
      <c r="K23" s="12" t="n">
        <f aca="false">K12+K13+K14+K15+K16+K17+K18+K19+K20+K21+K22</f>
        <v>8180.4</v>
      </c>
      <c r="L23" s="12" t="n">
        <f aca="false">L12+L13+L14+L15+L16+L17+L18+L19+L20+L21+L22</f>
        <v>8220.4</v>
      </c>
      <c r="M23" s="12" t="n">
        <f aca="false">M12+M13+M14+M15+M16+M17+M18+M19+M20+M21+M22</f>
        <v>8260.4</v>
      </c>
      <c r="N23" s="12" t="n">
        <f aca="false">N12+N13+N14+N15+N16+N17+N18+N19+N20+N21+N22</f>
        <v>22089.6</v>
      </c>
      <c r="O23" s="12" t="n">
        <f aca="false">O12+O13+O14+O15+O16+O17+O18+O19+O20+O21+O22</f>
        <v>22135.6</v>
      </c>
      <c r="P23" s="12" t="n">
        <f aca="false">P12+P13+P14+P15+P16+P17+P18+P19+P20+P21+P22</f>
        <v>22181.6</v>
      </c>
      <c r="Q23" s="12" t="n">
        <f aca="false">Q12+Q13+Q14+Q15+Q16+Q17+Q18+Q19+Q20+Q21+Q22</f>
        <v>22227.6</v>
      </c>
      <c r="R23" s="12" t="n">
        <f aca="false">R12+R13+R14+R15+R16+R17+R18+R19+R20+R21+R22</f>
        <v>22273.6</v>
      </c>
      <c r="S23" s="12" t="n">
        <f aca="false">S12+S13+S14+S15+S16+S17+S18+S19+S20+S21+S22</f>
        <v>22319.6</v>
      </c>
      <c r="T23" s="12" t="n">
        <f aca="false">T12+T13+T14+T15+T16+T17+T18+T19+T20+T21+T22</f>
        <v>35212.4</v>
      </c>
      <c r="U23" s="12" t="n">
        <f aca="false">U12+U13+U14+U15+U16+U17+U18+U19+U20+U21+U22</f>
        <v>35304.4</v>
      </c>
      <c r="V23" s="12" t="n">
        <f aca="false">V12+V13+V14+V15+V16+V17+V18+V19+V20+V21+V22</f>
        <v>35396.4</v>
      </c>
      <c r="W23" s="12" t="n">
        <f aca="false">W12+W13+W14+W15+W16+W17+W18+W19+W20+W21+W22</f>
        <v>35488.4</v>
      </c>
      <c r="X23" s="12" t="n">
        <f aca="false">X12+X13+X14+X15+X16+X17+X18+X19+X20+X21+X22</f>
        <v>35534.4</v>
      </c>
      <c r="Y23" s="12" t="n">
        <f aca="false">Y12+Y13+Y14+Y15+Y16+Y17+Y18+Y19+Y20+Y21+Y22</f>
        <v>35580.4</v>
      </c>
      <c r="Z23" s="12" t="n">
        <f aca="false">SUM(B23:M23)</f>
        <v>57982.4</v>
      </c>
      <c r="AA23" s="12" t="n">
        <f aca="false">SUM(N23:Y23)</f>
        <v>345744</v>
      </c>
    </row>
    <row r="25" customFormat="false" ht="15" hidden="false" customHeight="false" outlineLevel="0" collapsed="false">
      <c r="A25" s="2" t="s">
        <v>109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false" outlineLevel="0" collapsed="false">
      <c r="A26" s="4" t="s">
        <v>110</v>
      </c>
      <c r="B26" s="5" t="n">
        <v>500</v>
      </c>
      <c r="C26" s="5" t="n">
        <v>500</v>
      </c>
      <c r="D26" s="5" t="n">
        <v>500</v>
      </c>
      <c r="E26" s="5" t="n">
        <v>500</v>
      </c>
      <c r="F26" s="5" t="n">
        <v>500</v>
      </c>
      <c r="G26" s="5" t="n">
        <v>500</v>
      </c>
      <c r="H26" s="5" t="n">
        <v>750</v>
      </c>
      <c r="I26" s="5" t="n">
        <v>750</v>
      </c>
      <c r="J26" s="5" t="n">
        <v>750</v>
      </c>
      <c r="K26" s="5" t="n">
        <v>750</v>
      </c>
      <c r="L26" s="5" t="n">
        <v>750</v>
      </c>
      <c r="M26" s="5" t="n">
        <v>750</v>
      </c>
      <c r="N26" s="5" t="n">
        <v>1000</v>
      </c>
      <c r="O26" s="5" t="n">
        <v>1000</v>
      </c>
      <c r="P26" s="5" t="n">
        <v>1000</v>
      </c>
      <c r="Q26" s="5" t="n">
        <v>1000</v>
      </c>
      <c r="R26" s="5" t="n">
        <v>1000</v>
      </c>
      <c r="S26" s="5" t="n">
        <v>1000</v>
      </c>
      <c r="T26" s="5" t="n">
        <v>1500</v>
      </c>
      <c r="U26" s="5" t="n">
        <v>1500</v>
      </c>
      <c r="V26" s="5" t="n">
        <v>1500</v>
      </c>
      <c r="W26" s="5" t="n">
        <v>1500</v>
      </c>
      <c r="X26" s="5" t="n">
        <v>1500</v>
      </c>
      <c r="Y26" s="5" t="n">
        <v>1500</v>
      </c>
      <c r="Z26" s="9" t="n">
        <f aca="false">SUM(B26:M26)</f>
        <v>7500</v>
      </c>
      <c r="AA26" s="9" t="n">
        <f aca="false">SUM(N26:Y26)</f>
        <v>15000</v>
      </c>
    </row>
    <row r="27" customFormat="false" ht="15" hidden="false" customHeight="false" outlineLevel="0" collapsed="false">
      <c r="A27" s="4" t="s">
        <v>111</v>
      </c>
      <c r="B27" s="5" t="n">
        <v>500</v>
      </c>
      <c r="C27" s="5" t="n">
        <v>500</v>
      </c>
      <c r="D27" s="5" t="n">
        <v>500</v>
      </c>
      <c r="E27" s="5" t="n">
        <v>500</v>
      </c>
      <c r="F27" s="5" t="n">
        <v>500</v>
      </c>
      <c r="G27" s="5" t="n">
        <v>500</v>
      </c>
      <c r="H27" s="5" t="n">
        <v>700</v>
      </c>
      <c r="I27" s="5" t="n">
        <v>700</v>
      </c>
      <c r="J27" s="5" t="n">
        <v>700</v>
      </c>
      <c r="K27" s="5" t="n">
        <v>700</v>
      </c>
      <c r="L27" s="5" t="n">
        <v>700</v>
      </c>
      <c r="M27" s="5" t="n">
        <v>700</v>
      </c>
      <c r="N27" s="5" t="n">
        <v>800</v>
      </c>
      <c r="O27" s="5" t="n">
        <v>800</v>
      </c>
      <c r="P27" s="5" t="n">
        <v>800</v>
      </c>
      <c r="Q27" s="5" t="n">
        <v>800</v>
      </c>
      <c r="R27" s="5" t="n">
        <v>800</v>
      </c>
      <c r="S27" s="5" t="n">
        <v>800</v>
      </c>
      <c r="T27" s="5" t="n">
        <v>1000</v>
      </c>
      <c r="U27" s="5" t="n">
        <v>1000</v>
      </c>
      <c r="V27" s="5" t="n">
        <v>1000</v>
      </c>
      <c r="W27" s="5" t="n">
        <v>1000</v>
      </c>
      <c r="X27" s="5" t="n">
        <v>1000</v>
      </c>
      <c r="Y27" s="5" t="n">
        <v>1000</v>
      </c>
      <c r="Z27" s="9" t="n">
        <f aca="false">SUM(B27:M27)</f>
        <v>7200</v>
      </c>
      <c r="AA27" s="9" t="n">
        <f aca="false">SUM(N27:Y27)</f>
        <v>10800</v>
      </c>
    </row>
    <row r="28" customFormat="false" ht="15" hidden="false" customHeight="false" outlineLevel="0" collapsed="false">
      <c r="A28" s="4" t="s">
        <v>112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4000</v>
      </c>
      <c r="I28" s="5" t="n">
        <v>4000</v>
      </c>
      <c r="J28" s="5" t="n">
        <v>4000</v>
      </c>
      <c r="K28" s="5" t="n">
        <v>4000</v>
      </c>
      <c r="L28" s="5" t="n">
        <v>4000</v>
      </c>
      <c r="M28" s="5" t="n">
        <v>4000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9" t="n">
        <f aca="false">SUM(B28:M28)</f>
        <v>24000</v>
      </c>
      <c r="AA28" s="9" t="n">
        <f aca="false">SUM(N28:Y28)</f>
        <v>0</v>
      </c>
    </row>
    <row r="29" customFormat="false" ht="15" hidden="false" customHeight="false" outlineLevel="0" collapsed="false">
      <c r="A29" s="4" t="s">
        <v>113</v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5417</v>
      </c>
      <c r="O29" s="5" t="n">
        <v>5417</v>
      </c>
      <c r="P29" s="5" t="n">
        <v>5417</v>
      </c>
      <c r="Q29" s="5" t="n">
        <v>5417</v>
      </c>
      <c r="R29" s="5" t="n">
        <v>5417</v>
      </c>
      <c r="S29" s="5" t="n">
        <v>5417</v>
      </c>
      <c r="T29" s="5" t="n">
        <v>5417</v>
      </c>
      <c r="U29" s="5" t="n">
        <v>5417</v>
      </c>
      <c r="V29" s="5" t="n">
        <v>5417</v>
      </c>
      <c r="W29" s="5" t="n">
        <v>5417</v>
      </c>
      <c r="X29" s="5" t="n">
        <v>5417</v>
      </c>
      <c r="Y29" s="5" t="n">
        <v>5417</v>
      </c>
      <c r="Z29" s="9" t="n">
        <f aca="false">SUM(B29:M29)</f>
        <v>0</v>
      </c>
      <c r="AA29" s="9" t="n">
        <f aca="false">SUM(N29:Y29)</f>
        <v>65004</v>
      </c>
    </row>
    <row r="30" customFormat="false" ht="15" hidden="false" customHeight="false" outlineLevel="0" collapsed="false">
      <c r="A30" s="4" t="s">
        <v>114</v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5833</v>
      </c>
      <c r="U30" s="5" t="n">
        <v>5833</v>
      </c>
      <c r="V30" s="5" t="n">
        <v>5833</v>
      </c>
      <c r="W30" s="5" t="n">
        <v>5833</v>
      </c>
      <c r="X30" s="5" t="n">
        <v>5833</v>
      </c>
      <c r="Y30" s="5" t="n">
        <v>5833</v>
      </c>
      <c r="Z30" s="9" t="n">
        <f aca="false">SUM(B30:M30)</f>
        <v>0</v>
      </c>
      <c r="AA30" s="9" t="n">
        <f aca="false">SUM(N30:Y30)</f>
        <v>34998</v>
      </c>
    </row>
    <row r="31" customFormat="false" ht="15" hidden="false" customHeight="false" outlineLevel="0" collapsed="false">
      <c r="A31" s="4" t="s">
        <v>115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1200</v>
      </c>
      <c r="I31" s="5" t="n">
        <v>1200</v>
      </c>
      <c r="J31" s="5" t="n">
        <v>1200</v>
      </c>
      <c r="K31" s="5" t="n">
        <v>1200</v>
      </c>
      <c r="L31" s="5" t="n">
        <v>1200</v>
      </c>
      <c r="M31" s="5" t="n">
        <v>1200</v>
      </c>
      <c r="N31" s="5" t="n">
        <v>1500</v>
      </c>
      <c r="O31" s="5" t="n">
        <v>1500</v>
      </c>
      <c r="P31" s="5" t="n">
        <v>1500</v>
      </c>
      <c r="Q31" s="5" t="n">
        <v>1500</v>
      </c>
      <c r="R31" s="5" t="n">
        <v>1500</v>
      </c>
      <c r="S31" s="5" t="n">
        <v>1500</v>
      </c>
      <c r="T31" s="5" t="n">
        <v>2000</v>
      </c>
      <c r="U31" s="5" t="n">
        <v>2000</v>
      </c>
      <c r="V31" s="5" t="n">
        <v>2000</v>
      </c>
      <c r="W31" s="5" t="n">
        <v>2000</v>
      </c>
      <c r="X31" s="5" t="n">
        <v>2000</v>
      </c>
      <c r="Y31" s="5" t="n">
        <v>2000</v>
      </c>
      <c r="Z31" s="9" t="n">
        <f aca="false">SUM(B31:M31)</f>
        <v>7200</v>
      </c>
      <c r="AA31" s="9" t="n">
        <f aca="false">SUM(N31:Y31)</f>
        <v>21000</v>
      </c>
    </row>
    <row r="32" customFormat="false" ht="15" hidden="false" customHeight="false" outlineLevel="0" collapsed="false">
      <c r="A32" s="4" t="s">
        <v>116</v>
      </c>
      <c r="B32" s="9" t="n">
        <f aca="false">(B28+B29+B30)*0.2</f>
        <v>0</v>
      </c>
      <c r="C32" s="9" t="n">
        <f aca="false">(C28+C29+C30)*0.2</f>
        <v>0</v>
      </c>
      <c r="D32" s="9" t="n">
        <f aca="false">(D28+D29+D30)*0.2</f>
        <v>0</v>
      </c>
      <c r="E32" s="9" t="n">
        <f aca="false">(E28+E29+E30)*0.2</f>
        <v>0</v>
      </c>
      <c r="F32" s="9" t="n">
        <f aca="false">(F28+F29+F30)*0.2</f>
        <v>0</v>
      </c>
      <c r="G32" s="9" t="n">
        <f aca="false">(G28+G29+G30)*0.2</f>
        <v>0</v>
      </c>
      <c r="H32" s="9" t="n">
        <f aca="false">(H28+H29+H30)*0.2</f>
        <v>800</v>
      </c>
      <c r="I32" s="9" t="n">
        <f aca="false">(I28+I29+I30)*0.2</f>
        <v>800</v>
      </c>
      <c r="J32" s="9" t="n">
        <f aca="false">(J28+J29+J30)*0.2</f>
        <v>800</v>
      </c>
      <c r="K32" s="9" t="n">
        <f aca="false">(K28+K29+K30)*0.2</f>
        <v>800</v>
      </c>
      <c r="L32" s="9" t="n">
        <f aca="false">(L28+L29+L30)*0.2</f>
        <v>800</v>
      </c>
      <c r="M32" s="9" t="n">
        <f aca="false">(M28+M29+M30)*0.2</f>
        <v>800</v>
      </c>
      <c r="N32" s="9" t="n">
        <f aca="false">(N28+N29+N30)*0.2</f>
        <v>1083.4</v>
      </c>
      <c r="O32" s="9" t="n">
        <f aca="false">(O28+O29+O30)*0.2</f>
        <v>1083.4</v>
      </c>
      <c r="P32" s="9" t="n">
        <f aca="false">(P28+P29+P30)*0.2</f>
        <v>1083.4</v>
      </c>
      <c r="Q32" s="9" t="n">
        <f aca="false">(Q28+Q29+Q30)*0.2</f>
        <v>1083.4</v>
      </c>
      <c r="R32" s="9" t="n">
        <f aca="false">(R28+R29+R30)*0.2</f>
        <v>1083.4</v>
      </c>
      <c r="S32" s="9" t="n">
        <f aca="false">(S28+S29+S30)*0.2</f>
        <v>1083.4</v>
      </c>
      <c r="T32" s="9" t="n">
        <f aca="false">(T28+T29+T30)*0.2</f>
        <v>2250</v>
      </c>
      <c r="U32" s="9" t="n">
        <f aca="false">(U28+U29+U30)*0.2</f>
        <v>2250</v>
      </c>
      <c r="V32" s="9" t="n">
        <f aca="false">(V28+V29+V30)*0.2</f>
        <v>2250</v>
      </c>
      <c r="W32" s="9" t="n">
        <f aca="false">(W28+W29+W30)*0.2</f>
        <v>2250</v>
      </c>
      <c r="X32" s="9" t="n">
        <f aca="false">(X28+X29+X30)*0.2</f>
        <v>2250</v>
      </c>
      <c r="Y32" s="9" t="n">
        <f aca="false">(Y28+Y29+Y30)*0.2</f>
        <v>2250</v>
      </c>
      <c r="Z32" s="9" t="n">
        <f aca="false">SUM(B32:M32)</f>
        <v>4800</v>
      </c>
      <c r="AA32" s="9" t="n">
        <f aca="false">SUM(N32:Y32)</f>
        <v>20000.4</v>
      </c>
    </row>
    <row r="33" customFormat="false" ht="15" hidden="false" customHeight="false" outlineLevel="0" collapsed="false">
      <c r="A33" s="4" t="s">
        <v>117</v>
      </c>
      <c r="B33" s="5" t="n">
        <v>250</v>
      </c>
      <c r="C33" s="5" t="n">
        <v>250</v>
      </c>
      <c r="D33" s="5" t="n">
        <v>250</v>
      </c>
      <c r="E33" s="5" t="n">
        <v>250</v>
      </c>
      <c r="F33" s="5" t="n">
        <v>250</v>
      </c>
      <c r="G33" s="5" t="n">
        <v>250</v>
      </c>
      <c r="H33" s="5" t="n">
        <v>500</v>
      </c>
      <c r="I33" s="5" t="n">
        <v>500</v>
      </c>
      <c r="J33" s="5" t="n">
        <v>500</v>
      </c>
      <c r="K33" s="5" t="n">
        <v>500</v>
      </c>
      <c r="L33" s="5" t="n">
        <v>500</v>
      </c>
      <c r="M33" s="5" t="n">
        <v>500</v>
      </c>
      <c r="N33" s="5" t="n">
        <v>1000</v>
      </c>
      <c r="O33" s="5" t="n">
        <v>1000</v>
      </c>
      <c r="P33" s="5" t="n">
        <v>1000</v>
      </c>
      <c r="Q33" s="5" t="n">
        <v>1000</v>
      </c>
      <c r="R33" s="5" t="n">
        <v>1000</v>
      </c>
      <c r="S33" s="5" t="n">
        <v>1000</v>
      </c>
      <c r="T33" s="5" t="n">
        <v>1500</v>
      </c>
      <c r="U33" s="5" t="n">
        <v>1500</v>
      </c>
      <c r="V33" s="5" t="n">
        <v>1500</v>
      </c>
      <c r="W33" s="5" t="n">
        <v>1500</v>
      </c>
      <c r="X33" s="5" t="n">
        <v>1500</v>
      </c>
      <c r="Y33" s="5" t="n">
        <v>1500</v>
      </c>
      <c r="Z33" s="9" t="n">
        <f aca="false">SUM(B33:M33)</f>
        <v>4500</v>
      </c>
      <c r="AA33" s="9" t="n">
        <f aca="false">SUM(N33:Y33)</f>
        <v>15000</v>
      </c>
    </row>
    <row r="34" customFormat="false" ht="15" hidden="false" customHeight="false" outlineLevel="0" collapsed="false">
      <c r="A34" s="4" t="s">
        <v>118</v>
      </c>
      <c r="B34" s="5" t="n">
        <v>167</v>
      </c>
      <c r="C34" s="5" t="n">
        <v>167</v>
      </c>
      <c r="D34" s="5" t="n">
        <v>167</v>
      </c>
      <c r="E34" s="5" t="n">
        <v>167</v>
      </c>
      <c r="F34" s="5" t="n">
        <v>167</v>
      </c>
      <c r="G34" s="5" t="n">
        <v>167</v>
      </c>
      <c r="H34" s="5" t="n">
        <v>333</v>
      </c>
      <c r="I34" s="5" t="n">
        <v>333</v>
      </c>
      <c r="J34" s="5" t="n">
        <v>333</v>
      </c>
      <c r="K34" s="5" t="n">
        <v>333</v>
      </c>
      <c r="L34" s="5" t="n">
        <v>333</v>
      </c>
      <c r="M34" s="5" t="n">
        <v>333</v>
      </c>
      <c r="N34" s="5" t="n">
        <v>750</v>
      </c>
      <c r="O34" s="5" t="n">
        <v>750</v>
      </c>
      <c r="P34" s="5" t="n">
        <v>750</v>
      </c>
      <c r="Q34" s="5" t="n">
        <v>750</v>
      </c>
      <c r="R34" s="5" t="n">
        <v>750</v>
      </c>
      <c r="S34" s="5" t="n">
        <v>750</v>
      </c>
      <c r="T34" s="5" t="n">
        <v>1000</v>
      </c>
      <c r="U34" s="5" t="n">
        <v>1000</v>
      </c>
      <c r="V34" s="5" t="n">
        <v>1000</v>
      </c>
      <c r="W34" s="5" t="n">
        <v>1000</v>
      </c>
      <c r="X34" s="5" t="n">
        <v>1000</v>
      </c>
      <c r="Y34" s="5" t="n">
        <v>1000</v>
      </c>
      <c r="Z34" s="9" t="n">
        <f aca="false">SUM(B34:M34)</f>
        <v>3000</v>
      </c>
      <c r="AA34" s="9" t="n">
        <f aca="false">SUM(N34:Y34)</f>
        <v>10500</v>
      </c>
    </row>
    <row r="35" customFormat="false" ht="15" hidden="false" customHeight="false" outlineLevel="0" collapsed="false">
      <c r="A35" s="4" t="s">
        <v>119</v>
      </c>
      <c r="B35" s="5" t="n">
        <v>100</v>
      </c>
      <c r="C35" s="5" t="n">
        <v>100</v>
      </c>
      <c r="D35" s="5" t="n">
        <v>100</v>
      </c>
      <c r="E35" s="5" t="n">
        <v>100</v>
      </c>
      <c r="F35" s="5" t="n">
        <v>100</v>
      </c>
      <c r="G35" s="5" t="n">
        <v>100</v>
      </c>
      <c r="H35" s="5" t="n">
        <v>250</v>
      </c>
      <c r="I35" s="5" t="n">
        <v>250</v>
      </c>
      <c r="J35" s="5" t="n">
        <v>250</v>
      </c>
      <c r="K35" s="5" t="n">
        <v>250</v>
      </c>
      <c r="L35" s="5" t="n">
        <v>250</v>
      </c>
      <c r="M35" s="5" t="n">
        <v>250</v>
      </c>
      <c r="N35" s="5" t="n">
        <v>500</v>
      </c>
      <c r="O35" s="5" t="n">
        <v>500</v>
      </c>
      <c r="P35" s="5" t="n">
        <v>500</v>
      </c>
      <c r="Q35" s="5" t="n">
        <v>500</v>
      </c>
      <c r="R35" s="5" t="n">
        <v>500</v>
      </c>
      <c r="S35" s="5" t="n">
        <v>500</v>
      </c>
      <c r="T35" s="5" t="n">
        <v>750</v>
      </c>
      <c r="U35" s="5" t="n">
        <v>750</v>
      </c>
      <c r="V35" s="5" t="n">
        <v>750</v>
      </c>
      <c r="W35" s="5" t="n">
        <v>750</v>
      </c>
      <c r="X35" s="5" t="n">
        <v>750</v>
      </c>
      <c r="Y35" s="5" t="n">
        <v>750</v>
      </c>
      <c r="Z35" s="9" t="n">
        <f aca="false">SUM(B35:M35)</f>
        <v>2100</v>
      </c>
      <c r="AA35" s="9" t="n">
        <f aca="false">SUM(N35:Y35)</f>
        <v>7500</v>
      </c>
    </row>
    <row r="36" customFormat="false" ht="15" hidden="false" customHeight="false" outlineLevel="0" collapsed="false">
      <c r="A36" s="4" t="s">
        <v>120</v>
      </c>
      <c r="B36" s="5" t="n">
        <v>50</v>
      </c>
      <c r="C36" s="5" t="n">
        <v>50</v>
      </c>
      <c r="D36" s="5" t="n">
        <v>50</v>
      </c>
      <c r="E36" s="5" t="n">
        <v>50</v>
      </c>
      <c r="F36" s="5" t="n">
        <v>50</v>
      </c>
      <c r="G36" s="5" t="n">
        <v>50</v>
      </c>
      <c r="H36" s="5" t="n">
        <v>100</v>
      </c>
      <c r="I36" s="5" t="n">
        <v>100</v>
      </c>
      <c r="J36" s="5" t="n">
        <v>100</v>
      </c>
      <c r="K36" s="5" t="n">
        <v>100</v>
      </c>
      <c r="L36" s="5" t="n">
        <v>100</v>
      </c>
      <c r="M36" s="5" t="n">
        <v>100</v>
      </c>
      <c r="N36" s="5" t="n">
        <v>250</v>
      </c>
      <c r="O36" s="5" t="n">
        <v>250</v>
      </c>
      <c r="P36" s="5" t="n">
        <v>250</v>
      </c>
      <c r="Q36" s="5" t="n">
        <v>250</v>
      </c>
      <c r="R36" s="5" t="n">
        <v>250</v>
      </c>
      <c r="S36" s="5" t="n">
        <v>250</v>
      </c>
      <c r="T36" s="5" t="n">
        <v>333</v>
      </c>
      <c r="U36" s="5" t="n">
        <v>333</v>
      </c>
      <c r="V36" s="5" t="n">
        <v>333</v>
      </c>
      <c r="W36" s="5" t="n">
        <v>333</v>
      </c>
      <c r="X36" s="5" t="n">
        <v>333</v>
      </c>
      <c r="Y36" s="5" t="n">
        <v>333</v>
      </c>
      <c r="Z36" s="9" t="n">
        <f aca="false">SUM(B36:M36)</f>
        <v>900</v>
      </c>
      <c r="AA36" s="9" t="n">
        <f aca="false">SUM(N36:Y36)</f>
        <v>3498</v>
      </c>
    </row>
    <row r="37" customFormat="false" ht="15" hidden="false" customHeight="false" outlineLevel="0" collapsed="false">
      <c r="A37" s="4" t="s">
        <v>121</v>
      </c>
      <c r="B37" s="5" t="n">
        <v>30</v>
      </c>
      <c r="C37" s="5" t="n">
        <v>30</v>
      </c>
      <c r="D37" s="5" t="n">
        <v>30</v>
      </c>
      <c r="E37" s="5" t="n">
        <v>30</v>
      </c>
      <c r="F37" s="5" t="n">
        <v>30</v>
      </c>
      <c r="G37" s="5" t="n">
        <v>30</v>
      </c>
      <c r="H37" s="5" t="n">
        <v>60</v>
      </c>
      <c r="I37" s="5" t="n">
        <v>60</v>
      </c>
      <c r="J37" s="5" t="n">
        <v>60</v>
      </c>
      <c r="K37" s="5" t="n">
        <v>60</v>
      </c>
      <c r="L37" s="5" t="n">
        <v>60</v>
      </c>
      <c r="M37" s="5" t="n">
        <v>60</v>
      </c>
      <c r="N37" s="5" t="n">
        <v>80</v>
      </c>
      <c r="O37" s="5" t="n">
        <v>80</v>
      </c>
      <c r="P37" s="5" t="n">
        <v>80</v>
      </c>
      <c r="Q37" s="5" t="n">
        <v>80</v>
      </c>
      <c r="R37" s="5" t="n">
        <v>80</v>
      </c>
      <c r="S37" s="5" t="n">
        <v>80</v>
      </c>
      <c r="T37" s="5" t="n">
        <v>100</v>
      </c>
      <c r="U37" s="5" t="n">
        <v>100</v>
      </c>
      <c r="V37" s="5" t="n">
        <v>100</v>
      </c>
      <c r="W37" s="5" t="n">
        <v>100</v>
      </c>
      <c r="X37" s="5" t="n">
        <v>100</v>
      </c>
      <c r="Y37" s="5" t="n">
        <v>100</v>
      </c>
      <c r="Z37" s="9" t="n">
        <f aca="false">SUM(B37:M37)</f>
        <v>540</v>
      </c>
      <c r="AA37" s="9" t="n">
        <f aca="false">SUM(N37:Y37)</f>
        <v>1080</v>
      </c>
    </row>
    <row r="38" customFormat="false" ht="15" hidden="false" customHeight="false" outlineLevel="0" collapsed="false">
      <c r="A38" s="4" t="s">
        <v>122</v>
      </c>
      <c r="B38" s="5" t="n">
        <v>100</v>
      </c>
      <c r="C38" s="5" t="n">
        <v>100</v>
      </c>
      <c r="D38" s="5" t="n">
        <v>100</v>
      </c>
      <c r="E38" s="5" t="n">
        <v>100</v>
      </c>
      <c r="F38" s="5" t="n">
        <v>100</v>
      </c>
      <c r="G38" s="5" t="n">
        <v>100</v>
      </c>
      <c r="H38" s="5" t="n">
        <v>100</v>
      </c>
      <c r="I38" s="5" t="n">
        <v>100</v>
      </c>
      <c r="J38" s="5" t="n">
        <v>100</v>
      </c>
      <c r="K38" s="5" t="n">
        <v>100</v>
      </c>
      <c r="L38" s="5" t="n">
        <v>100</v>
      </c>
      <c r="M38" s="5" t="n">
        <v>100</v>
      </c>
      <c r="N38" s="5" t="n">
        <v>200</v>
      </c>
      <c r="O38" s="5" t="n">
        <v>200</v>
      </c>
      <c r="P38" s="5" t="n">
        <v>200</v>
      </c>
      <c r="Q38" s="5" t="n">
        <v>200</v>
      </c>
      <c r="R38" s="5" t="n">
        <v>200</v>
      </c>
      <c r="S38" s="5" t="n">
        <v>200</v>
      </c>
      <c r="T38" s="5" t="n">
        <v>200</v>
      </c>
      <c r="U38" s="5" t="n">
        <v>200</v>
      </c>
      <c r="V38" s="5" t="n">
        <v>200</v>
      </c>
      <c r="W38" s="5" t="n">
        <v>200</v>
      </c>
      <c r="X38" s="5" t="n">
        <v>200</v>
      </c>
      <c r="Y38" s="5" t="n">
        <v>200</v>
      </c>
      <c r="Z38" s="9" t="n">
        <f aca="false">SUM(B38:M38)</f>
        <v>1200</v>
      </c>
      <c r="AA38" s="9" t="n">
        <f aca="false">SUM(N38:Y38)</f>
        <v>2400</v>
      </c>
    </row>
    <row r="39" customFormat="false" ht="15" hidden="false" customHeight="false" outlineLevel="0" collapsed="false">
      <c r="A39" s="4" t="s">
        <v>123</v>
      </c>
      <c r="B39" s="5" t="n">
        <v>20</v>
      </c>
      <c r="C39" s="5" t="n">
        <v>20</v>
      </c>
      <c r="D39" s="5" t="n">
        <v>20</v>
      </c>
      <c r="E39" s="5" t="n">
        <v>20</v>
      </c>
      <c r="F39" s="5" t="n">
        <v>20</v>
      </c>
      <c r="G39" s="5" t="n">
        <v>20</v>
      </c>
      <c r="H39" s="5" t="n">
        <v>20</v>
      </c>
      <c r="I39" s="5" t="n">
        <v>20</v>
      </c>
      <c r="J39" s="5" t="n">
        <v>20</v>
      </c>
      <c r="K39" s="5" t="n">
        <v>20</v>
      </c>
      <c r="L39" s="5" t="n">
        <v>20</v>
      </c>
      <c r="M39" s="5" t="n">
        <v>20</v>
      </c>
      <c r="N39" s="5" t="n">
        <v>30</v>
      </c>
      <c r="O39" s="5" t="n">
        <v>30</v>
      </c>
      <c r="P39" s="5" t="n">
        <v>30</v>
      </c>
      <c r="Q39" s="5" t="n">
        <v>30</v>
      </c>
      <c r="R39" s="5" t="n">
        <v>30</v>
      </c>
      <c r="S39" s="5" t="n">
        <v>30</v>
      </c>
      <c r="T39" s="5" t="n">
        <v>30</v>
      </c>
      <c r="U39" s="5" t="n">
        <v>30</v>
      </c>
      <c r="V39" s="5" t="n">
        <v>30</v>
      </c>
      <c r="W39" s="5" t="n">
        <v>30</v>
      </c>
      <c r="X39" s="5" t="n">
        <v>30</v>
      </c>
      <c r="Y39" s="5" t="n">
        <v>30</v>
      </c>
      <c r="Z39" s="9" t="n">
        <f aca="false">SUM(B39:M39)</f>
        <v>240</v>
      </c>
      <c r="AA39" s="9" t="n">
        <f aca="false">SUM(N39:Y39)</f>
        <v>360</v>
      </c>
    </row>
    <row r="40" customFormat="false" ht="15" hidden="false" customHeight="false" outlineLevel="0" collapsed="false">
      <c r="A40" s="4" t="s">
        <v>124</v>
      </c>
      <c r="B40" s="5" t="n">
        <v>13</v>
      </c>
      <c r="C40" s="5" t="n">
        <v>13</v>
      </c>
      <c r="D40" s="5" t="n">
        <v>13</v>
      </c>
      <c r="E40" s="5" t="n">
        <v>13</v>
      </c>
      <c r="F40" s="5" t="n">
        <v>13</v>
      </c>
      <c r="G40" s="5" t="n">
        <v>13</v>
      </c>
      <c r="H40" s="5" t="n">
        <v>13</v>
      </c>
      <c r="I40" s="5" t="n">
        <v>13</v>
      </c>
      <c r="J40" s="5" t="n">
        <v>13</v>
      </c>
      <c r="K40" s="5" t="n">
        <v>13</v>
      </c>
      <c r="L40" s="5" t="n">
        <v>13</v>
      </c>
      <c r="M40" s="5" t="n">
        <v>13</v>
      </c>
      <c r="N40" s="5" t="n">
        <v>13</v>
      </c>
      <c r="O40" s="5" t="n">
        <v>13</v>
      </c>
      <c r="P40" s="5" t="n">
        <v>13</v>
      </c>
      <c r="Q40" s="5" t="n">
        <v>13</v>
      </c>
      <c r="R40" s="5" t="n">
        <v>13</v>
      </c>
      <c r="S40" s="5" t="n">
        <v>13</v>
      </c>
      <c r="T40" s="5" t="n">
        <v>13</v>
      </c>
      <c r="U40" s="5" t="n">
        <v>13</v>
      </c>
      <c r="V40" s="5" t="n">
        <v>13</v>
      </c>
      <c r="W40" s="5" t="n">
        <v>13</v>
      </c>
      <c r="X40" s="5" t="n">
        <v>13</v>
      </c>
      <c r="Y40" s="5" t="n">
        <v>13</v>
      </c>
      <c r="Z40" s="9" t="n">
        <f aca="false">SUM(B40:M40)</f>
        <v>156</v>
      </c>
      <c r="AA40" s="9" t="n">
        <f aca="false">SUM(N40:Y40)</f>
        <v>156</v>
      </c>
    </row>
    <row r="41" customFormat="false" ht="15" hidden="false" customHeight="false" outlineLevel="0" collapsed="false">
      <c r="A41" s="4" t="s">
        <v>125</v>
      </c>
      <c r="B41" s="5" t="n">
        <v>100</v>
      </c>
      <c r="C41" s="5" t="n">
        <v>100</v>
      </c>
      <c r="D41" s="5" t="n">
        <v>100</v>
      </c>
      <c r="E41" s="5" t="n">
        <v>100</v>
      </c>
      <c r="F41" s="5" t="n">
        <v>100</v>
      </c>
      <c r="G41" s="5" t="n">
        <v>100</v>
      </c>
      <c r="H41" s="5" t="n">
        <v>200</v>
      </c>
      <c r="I41" s="5" t="n">
        <v>200</v>
      </c>
      <c r="J41" s="5" t="n">
        <v>200</v>
      </c>
      <c r="K41" s="5" t="n">
        <v>200</v>
      </c>
      <c r="L41" s="5" t="n">
        <v>200</v>
      </c>
      <c r="M41" s="5" t="n">
        <v>200</v>
      </c>
      <c r="N41" s="5" t="n">
        <v>400</v>
      </c>
      <c r="O41" s="5" t="n">
        <v>400</v>
      </c>
      <c r="P41" s="5" t="n">
        <v>400</v>
      </c>
      <c r="Q41" s="5" t="n">
        <v>400</v>
      </c>
      <c r="R41" s="5" t="n">
        <v>400</v>
      </c>
      <c r="S41" s="5" t="n">
        <v>400</v>
      </c>
      <c r="T41" s="5" t="n">
        <v>600</v>
      </c>
      <c r="U41" s="5" t="n">
        <v>600</v>
      </c>
      <c r="V41" s="5" t="n">
        <v>600</v>
      </c>
      <c r="W41" s="5" t="n">
        <v>600</v>
      </c>
      <c r="X41" s="5" t="n">
        <v>600</v>
      </c>
      <c r="Y41" s="5" t="n">
        <v>600</v>
      </c>
      <c r="Z41" s="9" t="n">
        <f aca="false">SUM(B41:M41)</f>
        <v>1800</v>
      </c>
      <c r="AA41" s="9" t="n">
        <f aca="false">SUM(N41:Y41)</f>
        <v>6000</v>
      </c>
    </row>
    <row r="42" customFormat="false" ht="15" hidden="false" customHeight="false" outlineLevel="0" collapsed="false">
      <c r="A42" s="4" t="s">
        <v>126</v>
      </c>
      <c r="B42" s="5" t="n">
        <v>333</v>
      </c>
      <c r="C42" s="5" t="n">
        <v>333</v>
      </c>
      <c r="D42" s="5" t="n">
        <v>333</v>
      </c>
      <c r="E42" s="5" t="n">
        <v>333</v>
      </c>
      <c r="F42" s="5" t="n">
        <v>333</v>
      </c>
      <c r="G42" s="5" t="n">
        <v>333</v>
      </c>
      <c r="H42" s="5" t="n">
        <v>800</v>
      </c>
      <c r="I42" s="5" t="n">
        <v>800</v>
      </c>
      <c r="J42" s="5" t="n">
        <v>800</v>
      </c>
      <c r="K42" s="5" t="n">
        <v>800</v>
      </c>
      <c r="L42" s="5" t="n">
        <v>800</v>
      </c>
      <c r="M42" s="5" t="n">
        <v>800</v>
      </c>
      <c r="N42" s="5" t="n">
        <v>1200</v>
      </c>
      <c r="O42" s="5" t="n">
        <v>1200</v>
      </c>
      <c r="P42" s="5" t="n">
        <v>1200</v>
      </c>
      <c r="Q42" s="5" t="n">
        <v>1200</v>
      </c>
      <c r="R42" s="5" t="n">
        <v>1200</v>
      </c>
      <c r="S42" s="5" t="n">
        <v>1200</v>
      </c>
      <c r="T42" s="5" t="n">
        <v>1500</v>
      </c>
      <c r="U42" s="5" t="n">
        <v>1500</v>
      </c>
      <c r="V42" s="5" t="n">
        <v>1500</v>
      </c>
      <c r="W42" s="5" t="n">
        <v>1500</v>
      </c>
      <c r="X42" s="5" t="n">
        <v>1500</v>
      </c>
      <c r="Y42" s="5" t="n">
        <v>1500</v>
      </c>
      <c r="Z42" s="9" t="n">
        <f aca="false">SUM(B42:M42)</f>
        <v>6798</v>
      </c>
      <c r="AA42" s="9" t="n">
        <f aca="false">SUM(N42:Y42)</f>
        <v>16200</v>
      </c>
    </row>
    <row r="43" customFormat="false" ht="15" hidden="false" customHeight="false" outlineLevel="0" collapsed="false">
      <c r="A43" s="4" t="s">
        <v>127</v>
      </c>
      <c r="B43" s="5" t="n">
        <v>50</v>
      </c>
      <c r="C43" s="5" t="n">
        <v>50</v>
      </c>
      <c r="D43" s="5" t="n">
        <v>50</v>
      </c>
      <c r="E43" s="5" t="n">
        <v>50</v>
      </c>
      <c r="F43" s="5" t="n">
        <v>50</v>
      </c>
      <c r="G43" s="5" t="n">
        <v>50</v>
      </c>
      <c r="H43" s="5" t="n">
        <v>100</v>
      </c>
      <c r="I43" s="5" t="n">
        <v>100</v>
      </c>
      <c r="J43" s="5" t="n">
        <v>100</v>
      </c>
      <c r="K43" s="5" t="n">
        <v>100</v>
      </c>
      <c r="L43" s="5" t="n">
        <v>100</v>
      </c>
      <c r="M43" s="5" t="n">
        <v>100</v>
      </c>
      <c r="N43" s="5" t="n">
        <v>250</v>
      </c>
      <c r="O43" s="5" t="n">
        <v>250</v>
      </c>
      <c r="P43" s="5" t="n">
        <v>250</v>
      </c>
      <c r="Q43" s="5" t="n">
        <v>250</v>
      </c>
      <c r="R43" s="5" t="n">
        <v>250</v>
      </c>
      <c r="S43" s="5" t="n">
        <v>250</v>
      </c>
      <c r="T43" s="5" t="n">
        <v>333</v>
      </c>
      <c r="U43" s="5" t="n">
        <v>333</v>
      </c>
      <c r="V43" s="5" t="n">
        <v>333</v>
      </c>
      <c r="W43" s="5" t="n">
        <v>333</v>
      </c>
      <c r="X43" s="5" t="n">
        <v>333</v>
      </c>
      <c r="Y43" s="5" t="n">
        <v>333</v>
      </c>
      <c r="Z43" s="9" t="n">
        <f aca="false">SUM(B43:M43)</f>
        <v>900</v>
      </c>
      <c r="AA43" s="9" t="n">
        <f aca="false">SUM(N43:Y43)</f>
        <v>3498</v>
      </c>
    </row>
    <row r="44" customFormat="false" ht="15" hidden="false" customHeight="false" outlineLevel="0" collapsed="false">
      <c r="A44" s="4" t="s">
        <v>128</v>
      </c>
      <c r="B44" s="5" t="n">
        <v>333</v>
      </c>
      <c r="C44" s="5" t="n">
        <v>333</v>
      </c>
      <c r="D44" s="5" t="n">
        <v>333</v>
      </c>
      <c r="E44" s="5" t="n">
        <v>167</v>
      </c>
      <c r="F44" s="5" t="n">
        <v>167</v>
      </c>
      <c r="G44" s="5" t="n">
        <v>167</v>
      </c>
      <c r="H44" s="5" t="n">
        <v>167</v>
      </c>
      <c r="I44" s="5" t="n">
        <v>167</v>
      </c>
      <c r="J44" s="5" t="n">
        <v>167</v>
      </c>
      <c r="K44" s="5" t="n">
        <v>167</v>
      </c>
      <c r="L44" s="5" t="n">
        <v>167</v>
      </c>
      <c r="M44" s="5" t="n">
        <v>167</v>
      </c>
      <c r="N44" s="5" t="n">
        <v>250</v>
      </c>
      <c r="O44" s="5" t="n">
        <v>250</v>
      </c>
      <c r="P44" s="5" t="n">
        <v>250</v>
      </c>
      <c r="Q44" s="5" t="n">
        <v>250</v>
      </c>
      <c r="R44" s="5" t="n">
        <v>250</v>
      </c>
      <c r="S44" s="5" t="n">
        <v>250</v>
      </c>
      <c r="T44" s="5" t="n">
        <v>333</v>
      </c>
      <c r="U44" s="5" t="n">
        <v>333</v>
      </c>
      <c r="V44" s="5" t="n">
        <v>333</v>
      </c>
      <c r="W44" s="5" t="n">
        <v>333</v>
      </c>
      <c r="X44" s="5" t="n">
        <v>333</v>
      </c>
      <c r="Y44" s="5" t="n">
        <v>333</v>
      </c>
      <c r="Z44" s="9" t="n">
        <f aca="false">SUM(B44:M44)</f>
        <v>2502</v>
      </c>
      <c r="AA44" s="9" t="n">
        <f aca="false">SUM(N44:Y44)</f>
        <v>3498</v>
      </c>
    </row>
    <row r="45" customFormat="false" ht="15" hidden="false" customHeight="false" outlineLevel="0" collapsed="false">
      <c r="A45" s="11" t="s">
        <v>129</v>
      </c>
      <c r="B45" s="12" t="n">
        <f aca="false">B26+B27+B28+B29+B30+B31+B32+B33+B34+B35+B36+B37+B38+B39+B40+B41+B42+B43+B44</f>
        <v>2546</v>
      </c>
      <c r="C45" s="12" t="n">
        <f aca="false">C26+C27+C28+C29+C30+C31+C32+C33+C34+C35+C36+C37+C38+C39+C40+C41+C42+C43+C44</f>
        <v>2546</v>
      </c>
      <c r="D45" s="12" t="n">
        <f aca="false">D26+D27+D28+D29+D30+D31+D32+D33+D34+D35+D36+D37+D38+D39+D40+D41+D42+D43+D44</f>
        <v>2546</v>
      </c>
      <c r="E45" s="12" t="n">
        <f aca="false">E26+E27+E28+E29+E30+E31+E32+E33+E34+E35+E36+E37+E38+E39+E40+E41+E42+E43+E44</f>
        <v>2380</v>
      </c>
      <c r="F45" s="12" t="n">
        <f aca="false">F26+F27+F28+F29+F30+F31+F32+F33+F34+F35+F36+F37+F38+F39+F40+F41+F42+F43+F44</f>
        <v>2380</v>
      </c>
      <c r="G45" s="12" t="n">
        <f aca="false">G26+G27+G28+G29+G30+G31+G32+G33+G34+G35+G36+G37+G38+G39+G40+G41+G42+G43+G44</f>
        <v>2380</v>
      </c>
      <c r="H45" s="12" t="n">
        <f aca="false">H26+H27+H28+H29+H30+H31+H32+H33+H34+H35+H36+H37+H38+H39+H40+H41+H42+H43+H44</f>
        <v>10093</v>
      </c>
      <c r="I45" s="12" t="n">
        <f aca="false">I26+I27+I28+I29+I30+I31+I32+I33+I34+I35+I36+I37+I38+I39+I40+I41+I42+I43+I44</f>
        <v>10093</v>
      </c>
      <c r="J45" s="12" t="n">
        <f aca="false">J26+J27+J28+J29+J30+J31+J32+J33+J34+J35+J36+J37+J38+J39+J40+J41+J42+J43+J44</f>
        <v>10093</v>
      </c>
      <c r="K45" s="12" t="n">
        <f aca="false">K26+K27+K28+K29+K30+K31+K32+K33+K34+K35+K36+K37+K38+K39+K40+K41+K42+K43+K44</f>
        <v>10093</v>
      </c>
      <c r="L45" s="12" t="n">
        <f aca="false">L26+L27+L28+L29+L30+L31+L32+L33+L34+L35+L36+L37+L38+L39+L40+L41+L42+L43+L44</f>
        <v>10093</v>
      </c>
      <c r="M45" s="12" t="n">
        <f aca="false">M26+M27+M28+M29+M30+M31+M32+M33+M34+M35+M36+M37+M38+M39+M40+M41+M42+M43+M44</f>
        <v>10093</v>
      </c>
      <c r="N45" s="12" t="n">
        <f aca="false">N26+N27+N28+N29+N30+N31+N32+N33+N34+N35+N36+N37+N38+N39+N40+N41+N42+N43+N44</f>
        <v>14723.4</v>
      </c>
      <c r="O45" s="12" t="n">
        <f aca="false">O26+O27+O28+O29+O30+O31+O32+O33+O34+O35+O36+O37+O38+O39+O40+O41+O42+O43+O44</f>
        <v>14723.4</v>
      </c>
      <c r="P45" s="12" t="n">
        <f aca="false">P26+P27+P28+P29+P30+P31+P32+P33+P34+P35+P36+P37+P38+P39+P40+P41+P42+P43+P44</f>
        <v>14723.4</v>
      </c>
      <c r="Q45" s="12" t="n">
        <f aca="false">Q26+Q27+Q28+Q29+Q30+Q31+Q32+Q33+Q34+Q35+Q36+Q37+Q38+Q39+Q40+Q41+Q42+Q43+Q44</f>
        <v>14723.4</v>
      </c>
      <c r="R45" s="12" t="n">
        <f aca="false">R26+R27+R28+R29+R30+R31+R32+R33+R34+R35+R36+R37+R38+R39+R40+R41+R42+R43+R44</f>
        <v>14723.4</v>
      </c>
      <c r="S45" s="12" t="n">
        <f aca="false">S26+S27+S28+S29+S30+S31+S32+S33+S34+S35+S36+S37+S38+S39+S40+S41+S42+S43+S44</f>
        <v>14723.4</v>
      </c>
      <c r="T45" s="12" t="n">
        <f aca="false">T26+T27+T28+T29+T30+T31+T32+T33+T34+T35+T36+T37+T38+T39+T40+T41+T42+T43+T44</f>
        <v>24692</v>
      </c>
      <c r="U45" s="12" t="n">
        <f aca="false">U26+U27+U28+U29+U30+U31+U32+U33+U34+U35+U36+U37+U38+U39+U40+U41+U42+U43+U44</f>
        <v>24692</v>
      </c>
      <c r="V45" s="12" t="n">
        <f aca="false">V26+V27+V28+V29+V30+V31+V32+V33+V34+V35+V36+V37+V38+V39+V40+V41+V42+V43+V44</f>
        <v>24692</v>
      </c>
      <c r="W45" s="12" t="n">
        <f aca="false">W26+W27+W28+W29+W30+W31+W32+W33+W34+W35+W36+W37+W38+W39+W40+W41+W42+W43+W44</f>
        <v>24692</v>
      </c>
      <c r="X45" s="12" t="n">
        <f aca="false">X26+X27+X28+X29+X30+X31+X32+X33+X34+X35+X36+X37+X38+X39+X40+X41+X42+X43+X44</f>
        <v>24692</v>
      </c>
      <c r="Y45" s="12" t="n">
        <f aca="false">Y26+Y27+Y28+Y29+Y30+Y31+Y32+Y33+Y34+Y35+Y36+Y37+Y38+Y39+Y40+Y41+Y42+Y43+Y44</f>
        <v>24692</v>
      </c>
      <c r="Z45" s="12" t="n">
        <f aca="false">SUM(B45:M45)</f>
        <v>75336</v>
      </c>
      <c r="AA45" s="12" t="n">
        <f aca="false">SUM(N45:Y45)</f>
        <v>236492.4</v>
      </c>
    </row>
    <row r="47" customFormat="false" ht="15" hidden="false" customHeight="false" outlineLevel="0" collapsed="false">
      <c r="A47" s="2" t="s">
        <v>130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false" outlineLevel="0" collapsed="false">
      <c r="A48" s="4" t="s">
        <v>131</v>
      </c>
      <c r="B48" s="5" t="n">
        <v>0</v>
      </c>
      <c r="C48" s="5" t="n">
        <v>0</v>
      </c>
      <c r="D48" s="5" t="n">
        <v>0</v>
      </c>
      <c r="E48" s="5" t="n">
        <v>10000</v>
      </c>
      <c r="F48" s="5" t="n">
        <v>10000</v>
      </c>
      <c r="G48" s="5" t="n">
        <v>10000</v>
      </c>
      <c r="H48" s="5" t="n">
        <v>10417</v>
      </c>
      <c r="I48" s="5" t="n">
        <v>10417</v>
      </c>
      <c r="J48" s="5" t="n">
        <v>10417</v>
      </c>
      <c r="K48" s="5" t="n">
        <v>10417</v>
      </c>
      <c r="L48" s="5" t="n">
        <v>10417</v>
      </c>
      <c r="M48" s="5" t="n">
        <v>10417</v>
      </c>
      <c r="N48" s="5" t="n">
        <v>10833</v>
      </c>
      <c r="O48" s="5" t="n">
        <v>10833</v>
      </c>
      <c r="P48" s="5" t="n">
        <v>10833</v>
      </c>
      <c r="Q48" s="5" t="n">
        <v>10833</v>
      </c>
      <c r="R48" s="5" t="n">
        <v>10833</v>
      </c>
      <c r="S48" s="5" t="n">
        <v>10833</v>
      </c>
      <c r="T48" s="5" t="n">
        <v>10833</v>
      </c>
      <c r="U48" s="5" t="n">
        <v>10833</v>
      </c>
      <c r="V48" s="5" t="n">
        <v>10833</v>
      </c>
      <c r="W48" s="5" t="n">
        <v>10833</v>
      </c>
      <c r="X48" s="5" t="n">
        <v>10833</v>
      </c>
      <c r="Y48" s="5" t="n">
        <v>10833</v>
      </c>
      <c r="Z48" s="9" t="n">
        <f aca="false">SUM(B48:M48)</f>
        <v>92502</v>
      </c>
      <c r="AA48" s="9" t="n">
        <f aca="false">SUM(N48:Y48)</f>
        <v>129996</v>
      </c>
    </row>
    <row r="49" customFormat="false" ht="15" hidden="false" customHeight="false" outlineLevel="0" collapsed="false">
      <c r="A49" s="4" t="s">
        <v>132</v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9167</v>
      </c>
      <c r="H49" s="5" t="n">
        <v>9167</v>
      </c>
      <c r="I49" s="5" t="n">
        <v>9167</v>
      </c>
      <c r="J49" s="5" t="n">
        <v>9167</v>
      </c>
      <c r="K49" s="5" t="n">
        <v>9167</v>
      </c>
      <c r="L49" s="5" t="n">
        <v>9167</v>
      </c>
      <c r="M49" s="5" t="n">
        <v>9167</v>
      </c>
      <c r="N49" s="5" t="n">
        <v>9583</v>
      </c>
      <c r="O49" s="5" t="n">
        <v>9583</v>
      </c>
      <c r="P49" s="5" t="n">
        <v>9583</v>
      </c>
      <c r="Q49" s="5" t="n">
        <v>9583</v>
      </c>
      <c r="R49" s="5" t="n">
        <v>9583</v>
      </c>
      <c r="S49" s="5" t="n">
        <v>9583</v>
      </c>
      <c r="T49" s="5" t="n">
        <v>9583</v>
      </c>
      <c r="U49" s="5" t="n">
        <v>9583</v>
      </c>
      <c r="V49" s="5" t="n">
        <v>9583</v>
      </c>
      <c r="W49" s="5" t="n">
        <v>9583</v>
      </c>
      <c r="X49" s="5" t="n">
        <v>9583</v>
      </c>
      <c r="Y49" s="5" t="n">
        <v>9583</v>
      </c>
      <c r="Z49" s="9" t="n">
        <f aca="false">SUM(B49:M49)</f>
        <v>64169</v>
      </c>
      <c r="AA49" s="9" t="n">
        <f aca="false">SUM(N49:Y49)</f>
        <v>114996</v>
      </c>
    </row>
    <row r="50" customFormat="false" ht="15" hidden="false" customHeight="false" outlineLevel="0" collapsed="false">
      <c r="A50" s="4" t="s">
        <v>133</v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10000</v>
      </c>
      <c r="J50" s="5" t="n">
        <v>10000</v>
      </c>
      <c r="K50" s="5" t="n">
        <v>10000</v>
      </c>
      <c r="L50" s="5" t="n">
        <v>10000</v>
      </c>
      <c r="M50" s="5" t="n">
        <v>10000</v>
      </c>
      <c r="N50" s="5" t="n">
        <v>10417</v>
      </c>
      <c r="O50" s="5" t="n">
        <v>10417</v>
      </c>
      <c r="P50" s="5" t="n">
        <v>10417</v>
      </c>
      <c r="Q50" s="5" t="n">
        <v>10417</v>
      </c>
      <c r="R50" s="5" t="n">
        <v>10417</v>
      </c>
      <c r="S50" s="5" t="n">
        <v>10417</v>
      </c>
      <c r="T50" s="5" t="n">
        <v>10417</v>
      </c>
      <c r="U50" s="5" t="n">
        <v>10417</v>
      </c>
      <c r="V50" s="5" t="n">
        <v>10417</v>
      </c>
      <c r="W50" s="5" t="n">
        <v>10417</v>
      </c>
      <c r="X50" s="5" t="n">
        <v>10417</v>
      </c>
      <c r="Y50" s="5" t="n">
        <v>10417</v>
      </c>
      <c r="Z50" s="9" t="n">
        <f aca="false">SUM(B50:M50)</f>
        <v>50000</v>
      </c>
      <c r="AA50" s="9" t="n">
        <f aca="false">SUM(N50:Y50)</f>
        <v>125004</v>
      </c>
    </row>
    <row r="51" customFormat="false" ht="15" hidden="false" customHeight="false" outlineLevel="0" collapsed="false">
      <c r="A51" s="4" t="s">
        <v>134</v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7917</v>
      </c>
      <c r="L51" s="5" t="n">
        <v>7917</v>
      </c>
      <c r="M51" s="5" t="n">
        <v>7917</v>
      </c>
      <c r="N51" s="5" t="n">
        <v>8333</v>
      </c>
      <c r="O51" s="5" t="n">
        <v>8333</v>
      </c>
      <c r="P51" s="5" t="n">
        <v>8333</v>
      </c>
      <c r="Q51" s="5" t="n">
        <v>8333</v>
      </c>
      <c r="R51" s="5" t="n">
        <v>8333</v>
      </c>
      <c r="S51" s="5" t="n">
        <v>8333</v>
      </c>
      <c r="T51" s="5" t="n">
        <v>8333</v>
      </c>
      <c r="U51" s="5" t="n">
        <v>8333</v>
      </c>
      <c r="V51" s="5" t="n">
        <v>8333</v>
      </c>
      <c r="W51" s="5" t="n">
        <v>8333</v>
      </c>
      <c r="X51" s="5" t="n">
        <v>8333</v>
      </c>
      <c r="Y51" s="5" t="n">
        <v>8333</v>
      </c>
      <c r="Z51" s="9" t="n">
        <f aca="false">SUM(B51:M51)</f>
        <v>23751</v>
      </c>
      <c r="AA51" s="9" t="n">
        <f aca="false">SUM(N51:Y51)</f>
        <v>99996</v>
      </c>
    </row>
    <row r="52" customFormat="false" ht="15" hidden="false" customHeight="false" outlineLevel="0" collapsed="false">
      <c r="A52" s="4" t="s">
        <v>135</v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8333</v>
      </c>
      <c r="L52" s="5" t="n">
        <v>8333</v>
      </c>
      <c r="M52" s="5" t="n">
        <v>8333</v>
      </c>
      <c r="N52" s="5" t="n">
        <v>8750</v>
      </c>
      <c r="O52" s="5" t="n">
        <v>8750</v>
      </c>
      <c r="P52" s="5" t="n">
        <v>8750</v>
      </c>
      <c r="Q52" s="5" t="n">
        <v>8750</v>
      </c>
      <c r="R52" s="5" t="n">
        <v>8750</v>
      </c>
      <c r="S52" s="5" t="n">
        <v>8750</v>
      </c>
      <c r="T52" s="5" t="n">
        <v>8750</v>
      </c>
      <c r="U52" s="5" t="n">
        <v>8750</v>
      </c>
      <c r="V52" s="5" t="n">
        <v>8750</v>
      </c>
      <c r="W52" s="5" t="n">
        <v>8750</v>
      </c>
      <c r="X52" s="5" t="n">
        <v>8750</v>
      </c>
      <c r="Y52" s="5" t="n">
        <v>8750</v>
      </c>
      <c r="Z52" s="9" t="n">
        <f aca="false">SUM(B52:M52)</f>
        <v>24999</v>
      </c>
      <c r="AA52" s="9" t="n">
        <f aca="false">SUM(N52:Y52)</f>
        <v>105000</v>
      </c>
    </row>
    <row r="53" customFormat="false" ht="15" hidden="false" customHeight="false" outlineLevel="0" collapsed="false">
      <c r="A53" s="4" t="s">
        <v>136</v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9167</v>
      </c>
      <c r="O53" s="5" t="n">
        <v>9167</v>
      </c>
      <c r="P53" s="5" t="n">
        <v>9167</v>
      </c>
      <c r="Q53" s="5" t="n">
        <v>9167</v>
      </c>
      <c r="R53" s="5" t="n">
        <v>9167</v>
      </c>
      <c r="S53" s="5" t="n">
        <v>9167</v>
      </c>
      <c r="T53" s="5" t="n">
        <v>9167</v>
      </c>
      <c r="U53" s="5" t="n">
        <v>9167</v>
      </c>
      <c r="V53" s="5" t="n">
        <v>9167</v>
      </c>
      <c r="W53" s="5" t="n">
        <v>9167</v>
      </c>
      <c r="X53" s="5" t="n">
        <v>9167</v>
      </c>
      <c r="Y53" s="5" t="n">
        <v>9167</v>
      </c>
      <c r="Z53" s="9" t="n">
        <f aca="false">SUM(B53:M53)</f>
        <v>0</v>
      </c>
      <c r="AA53" s="9" t="n">
        <f aca="false">SUM(N53:Y53)</f>
        <v>110004</v>
      </c>
    </row>
    <row r="54" customFormat="false" ht="15" hidden="false" customHeight="false" outlineLevel="0" collapsed="false">
      <c r="A54" s="4" t="s">
        <v>137</v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9167</v>
      </c>
      <c r="P54" s="5" t="n">
        <v>9167</v>
      </c>
      <c r="Q54" s="5" t="n">
        <v>9167</v>
      </c>
      <c r="R54" s="5" t="n">
        <v>9167</v>
      </c>
      <c r="S54" s="5" t="n">
        <v>9167</v>
      </c>
      <c r="T54" s="5" t="n">
        <v>9167</v>
      </c>
      <c r="U54" s="5" t="n">
        <v>9167</v>
      </c>
      <c r="V54" s="5" t="n">
        <v>9167</v>
      </c>
      <c r="W54" s="5" t="n">
        <v>9167</v>
      </c>
      <c r="X54" s="5" t="n">
        <v>9167</v>
      </c>
      <c r="Y54" s="5" t="n">
        <v>9167</v>
      </c>
      <c r="Z54" s="9" t="n">
        <f aca="false">SUM(B54:M54)</f>
        <v>0</v>
      </c>
      <c r="AA54" s="9" t="n">
        <f aca="false">SUM(N54:Y54)</f>
        <v>100837</v>
      </c>
    </row>
    <row r="55" customFormat="false" ht="15" hidden="false" customHeight="false" outlineLevel="0" collapsed="false">
      <c r="A55" s="4" t="s">
        <v>138</v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9167</v>
      </c>
      <c r="V55" s="5" t="n">
        <v>9167</v>
      </c>
      <c r="W55" s="5" t="n">
        <v>9167</v>
      </c>
      <c r="X55" s="5" t="n">
        <v>9167</v>
      </c>
      <c r="Y55" s="5" t="n">
        <v>9167</v>
      </c>
      <c r="Z55" s="9" t="n">
        <f aca="false">SUM(B55:M55)</f>
        <v>0</v>
      </c>
      <c r="AA55" s="9" t="n">
        <f aca="false">SUM(N55:Y55)</f>
        <v>45835</v>
      </c>
    </row>
    <row r="56" customFormat="false" ht="15" hidden="false" customHeight="false" outlineLevel="0" collapsed="false">
      <c r="A56" s="4" t="s">
        <v>139</v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8333</v>
      </c>
      <c r="V56" s="5" t="n">
        <v>8333</v>
      </c>
      <c r="W56" s="5" t="n">
        <v>8333</v>
      </c>
      <c r="X56" s="5" t="n">
        <v>8333</v>
      </c>
      <c r="Y56" s="5" t="n">
        <v>8333</v>
      </c>
      <c r="Z56" s="9" t="n">
        <f aca="false">SUM(B56:M56)</f>
        <v>0</v>
      </c>
      <c r="AA56" s="9" t="n">
        <f aca="false">SUM(N56:Y56)</f>
        <v>41665</v>
      </c>
    </row>
    <row r="57" customFormat="false" ht="15" hidden="false" customHeight="false" outlineLevel="0" collapsed="false">
      <c r="A57" s="4" t="s">
        <v>140</v>
      </c>
      <c r="B57" s="9" t="n">
        <f aca="false">(B48+B49+B50+B52+B53+B54+B55)*0.2</f>
        <v>0</v>
      </c>
      <c r="C57" s="9" t="n">
        <f aca="false">(C48+C49+C50+C52+C53+C54+C55)*0.2</f>
        <v>0</v>
      </c>
      <c r="D57" s="9" t="n">
        <f aca="false">(D48+D49+D50+D52+D53+D54+D55)*0.2</f>
        <v>0</v>
      </c>
      <c r="E57" s="9" t="n">
        <f aca="false">(E48+E49+E50+E52+E53+E54+E55)*0.2</f>
        <v>2000</v>
      </c>
      <c r="F57" s="9" t="n">
        <f aca="false">(F48+F49+F50+F52+F53+F54+F55)*0.2</f>
        <v>2000</v>
      </c>
      <c r="G57" s="9" t="n">
        <f aca="false">(G48+G49+G50+G52+G53+G54+G55)*0.2</f>
        <v>3833.4</v>
      </c>
      <c r="H57" s="9" t="n">
        <f aca="false">(H48+H49+H50+H52+H53+H54+H55)*0.2</f>
        <v>3916.8</v>
      </c>
      <c r="I57" s="9" t="n">
        <f aca="false">(I48+I49+I50+I52+I53+I54+I55)*0.2</f>
        <v>5916.8</v>
      </c>
      <c r="J57" s="9" t="n">
        <f aca="false">(J48+J49+J50+J52+J53+J54+J55)*0.2</f>
        <v>5916.8</v>
      </c>
      <c r="K57" s="9" t="n">
        <f aca="false">(K48+K49+K50+K52+K53+K54+K55)*0.2</f>
        <v>7583.4</v>
      </c>
      <c r="L57" s="9" t="n">
        <f aca="false">(L48+L49+L50+L52+L53+L54+L55)*0.2</f>
        <v>7583.4</v>
      </c>
      <c r="M57" s="9" t="n">
        <f aca="false">(M48+M49+M50+M52+M53+M54+M55)*0.2</f>
        <v>7583.4</v>
      </c>
      <c r="N57" s="9" t="n">
        <f aca="false">(N48+N49+N50+N52+N53+N54+N55)*0.2</f>
        <v>9750</v>
      </c>
      <c r="O57" s="9" t="n">
        <f aca="false">(O48+O49+O50+O52+O53+O54+O55)*0.2</f>
        <v>11583.4</v>
      </c>
      <c r="P57" s="9" t="n">
        <f aca="false">(P48+P49+P50+P52+P53+P54+P55)*0.2</f>
        <v>11583.4</v>
      </c>
      <c r="Q57" s="9" t="n">
        <f aca="false">(Q48+Q49+Q50+Q52+Q53+Q54+Q55)*0.2</f>
        <v>11583.4</v>
      </c>
      <c r="R57" s="9" t="n">
        <f aca="false">(R48+R49+R50+R52+R53+R54+R55)*0.2</f>
        <v>11583.4</v>
      </c>
      <c r="S57" s="9" t="n">
        <f aca="false">(S48+S49+S50+S52+S53+S54+S55)*0.2</f>
        <v>11583.4</v>
      </c>
      <c r="T57" s="9" t="n">
        <f aca="false">(T48+T49+T50+T52+T53+T54+T55)*0.2</f>
        <v>11583.4</v>
      </c>
      <c r="U57" s="9" t="n">
        <f aca="false">(U48+U49+U50+U52+U53+U54+U55)*0.2</f>
        <v>13416.8</v>
      </c>
      <c r="V57" s="9" t="n">
        <f aca="false">(V48+V49+V50+V52+V53+V54+V55)*0.2</f>
        <v>13416.8</v>
      </c>
      <c r="W57" s="9" t="n">
        <f aca="false">(W48+W49+W50+W52+W53+W54+W55)*0.2</f>
        <v>13416.8</v>
      </c>
      <c r="X57" s="9" t="n">
        <f aca="false">(X48+X49+X50+X52+X53+X54+X55)*0.2</f>
        <v>13416.8</v>
      </c>
      <c r="Y57" s="9" t="n">
        <f aca="false">(Y48+Y49+Y50+Y52+Y53+Y54+Y55)*0.2</f>
        <v>13416.8</v>
      </c>
      <c r="Z57" s="9" t="n">
        <f aca="false">SUM(B57:M57)</f>
        <v>46334</v>
      </c>
      <c r="AA57" s="9" t="n">
        <f aca="false">SUM(N57:Y57)</f>
        <v>146334.4</v>
      </c>
    </row>
    <row r="58" customFormat="false" ht="15" hidden="false" customHeight="false" outlineLevel="0" collapsed="false">
      <c r="A58" s="4" t="s">
        <v>141</v>
      </c>
      <c r="B58" s="5" t="n">
        <v>1200</v>
      </c>
      <c r="C58" s="5" t="n">
        <v>1200</v>
      </c>
      <c r="D58" s="5" t="n">
        <v>1200</v>
      </c>
      <c r="E58" s="5" t="n">
        <v>1200</v>
      </c>
      <c r="F58" s="5" t="n">
        <v>1200</v>
      </c>
      <c r="G58" s="5" t="n">
        <v>1200</v>
      </c>
      <c r="H58" s="5" t="n">
        <v>1400</v>
      </c>
      <c r="I58" s="5" t="n">
        <v>1400</v>
      </c>
      <c r="J58" s="5" t="n">
        <v>1400</v>
      </c>
      <c r="K58" s="5" t="n">
        <v>1600</v>
      </c>
      <c r="L58" s="5" t="n">
        <v>1600</v>
      </c>
      <c r="M58" s="5" t="n">
        <v>1600</v>
      </c>
      <c r="N58" s="5" t="n">
        <v>2500</v>
      </c>
      <c r="O58" s="5" t="n">
        <v>2500</v>
      </c>
      <c r="P58" s="5" t="n">
        <v>2500</v>
      </c>
      <c r="Q58" s="5" t="n">
        <v>3200</v>
      </c>
      <c r="R58" s="5" t="n">
        <v>3200</v>
      </c>
      <c r="S58" s="5" t="n">
        <v>3200</v>
      </c>
      <c r="T58" s="5" t="n">
        <v>4000</v>
      </c>
      <c r="U58" s="5" t="n">
        <v>4000</v>
      </c>
      <c r="V58" s="5" t="n">
        <v>4000</v>
      </c>
      <c r="W58" s="5" t="n">
        <v>5000</v>
      </c>
      <c r="X58" s="5" t="n">
        <v>5000</v>
      </c>
      <c r="Y58" s="5" t="n">
        <v>5000</v>
      </c>
      <c r="Z58" s="9" t="n">
        <f aca="false">SUM(B58:M58)</f>
        <v>16200</v>
      </c>
      <c r="AA58" s="9" t="n">
        <f aca="false">SUM(N58:Y58)</f>
        <v>44100</v>
      </c>
    </row>
    <row r="59" customFormat="false" ht="15" hidden="false" customHeight="false" outlineLevel="0" collapsed="false">
      <c r="A59" s="4" t="s">
        <v>142</v>
      </c>
      <c r="B59" s="5" t="n">
        <v>30</v>
      </c>
      <c r="C59" s="5" t="n">
        <v>30</v>
      </c>
      <c r="D59" s="5" t="n">
        <v>30</v>
      </c>
      <c r="E59" s="5" t="n">
        <v>30</v>
      </c>
      <c r="F59" s="5" t="n">
        <v>30</v>
      </c>
      <c r="G59" s="5" t="n">
        <v>30</v>
      </c>
      <c r="H59" s="5" t="n">
        <v>40</v>
      </c>
      <c r="I59" s="5" t="n">
        <v>40</v>
      </c>
      <c r="J59" s="5" t="n">
        <v>40</v>
      </c>
      <c r="K59" s="5" t="n">
        <v>40</v>
      </c>
      <c r="L59" s="5" t="n">
        <v>40</v>
      </c>
      <c r="M59" s="5" t="n">
        <v>40</v>
      </c>
      <c r="N59" s="5" t="n">
        <v>75</v>
      </c>
      <c r="O59" s="5" t="n">
        <v>75</v>
      </c>
      <c r="P59" s="5" t="n">
        <v>75</v>
      </c>
      <c r="Q59" s="5" t="n">
        <v>75</v>
      </c>
      <c r="R59" s="5" t="n">
        <v>75</v>
      </c>
      <c r="S59" s="5" t="n">
        <v>75</v>
      </c>
      <c r="T59" s="5" t="n">
        <v>125</v>
      </c>
      <c r="U59" s="5" t="n">
        <v>125</v>
      </c>
      <c r="V59" s="5" t="n">
        <v>125</v>
      </c>
      <c r="W59" s="5" t="n">
        <v>125</v>
      </c>
      <c r="X59" s="5" t="n">
        <v>125</v>
      </c>
      <c r="Y59" s="5" t="n">
        <v>125</v>
      </c>
      <c r="Z59" s="9" t="n">
        <f aca="false">SUM(B59:M59)</f>
        <v>420</v>
      </c>
      <c r="AA59" s="9" t="n">
        <f aca="false">SUM(N59:Y59)</f>
        <v>1200</v>
      </c>
    </row>
    <row r="60" customFormat="false" ht="15" hidden="false" customHeight="false" outlineLevel="0" collapsed="false">
      <c r="A60" s="4" t="s">
        <v>143</v>
      </c>
      <c r="B60" s="5" t="n">
        <v>200</v>
      </c>
      <c r="C60" s="5" t="n">
        <v>200</v>
      </c>
      <c r="D60" s="5" t="n">
        <v>200</v>
      </c>
      <c r="E60" s="5" t="n">
        <v>200</v>
      </c>
      <c r="F60" s="5" t="n">
        <v>200</v>
      </c>
      <c r="G60" s="5" t="n">
        <v>200</v>
      </c>
      <c r="H60" s="5" t="n">
        <v>250</v>
      </c>
      <c r="I60" s="5" t="n">
        <v>250</v>
      </c>
      <c r="J60" s="5" t="n">
        <v>250</v>
      </c>
      <c r="K60" s="5" t="n">
        <v>250</v>
      </c>
      <c r="L60" s="5" t="n">
        <v>250</v>
      </c>
      <c r="M60" s="5" t="n">
        <v>250</v>
      </c>
      <c r="N60" s="5" t="n">
        <v>400</v>
      </c>
      <c r="O60" s="5" t="n">
        <v>400</v>
      </c>
      <c r="P60" s="5" t="n">
        <v>400</v>
      </c>
      <c r="Q60" s="5" t="n">
        <v>400</v>
      </c>
      <c r="R60" s="5" t="n">
        <v>400</v>
      </c>
      <c r="S60" s="5" t="n">
        <v>400</v>
      </c>
      <c r="T60" s="5" t="n">
        <v>500</v>
      </c>
      <c r="U60" s="5" t="n">
        <v>500</v>
      </c>
      <c r="V60" s="5" t="n">
        <v>500</v>
      </c>
      <c r="W60" s="5" t="n">
        <v>500</v>
      </c>
      <c r="X60" s="5" t="n">
        <v>500</v>
      </c>
      <c r="Y60" s="5" t="n">
        <v>500</v>
      </c>
      <c r="Z60" s="9" t="n">
        <f aca="false">SUM(B60:M60)</f>
        <v>2700</v>
      </c>
      <c r="AA60" s="9" t="n">
        <f aca="false">SUM(N60:Y60)</f>
        <v>5400</v>
      </c>
    </row>
    <row r="61" customFormat="false" ht="15" hidden="false" customHeight="false" outlineLevel="0" collapsed="false">
      <c r="A61" s="4" t="s">
        <v>144</v>
      </c>
      <c r="B61" s="5" t="n">
        <v>26</v>
      </c>
      <c r="C61" s="5" t="n">
        <v>26</v>
      </c>
      <c r="D61" s="5" t="n">
        <v>26</v>
      </c>
      <c r="E61" s="5" t="n">
        <v>26</v>
      </c>
      <c r="F61" s="5" t="n">
        <v>26</v>
      </c>
      <c r="G61" s="5" t="n">
        <v>26</v>
      </c>
      <c r="H61" s="5" t="n">
        <v>50</v>
      </c>
      <c r="I61" s="5" t="n">
        <v>50</v>
      </c>
      <c r="J61" s="5" t="n">
        <v>50</v>
      </c>
      <c r="K61" s="5" t="n">
        <v>50</v>
      </c>
      <c r="L61" s="5" t="n">
        <v>50</v>
      </c>
      <c r="M61" s="5" t="n">
        <v>50</v>
      </c>
      <c r="N61" s="5" t="n">
        <v>80</v>
      </c>
      <c r="O61" s="5" t="n">
        <v>80</v>
      </c>
      <c r="P61" s="5" t="n">
        <v>80</v>
      </c>
      <c r="Q61" s="5" t="n">
        <v>80</v>
      </c>
      <c r="R61" s="5" t="n">
        <v>80</v>
      </c>
      <c r="S61" s="5" t="n">
        <v>80</v>
      </c>
      <c r="T61" s="5" t="n">
        <v>80</v>
      </c>
      <c r="U61" s="5" t="n">
        <v>80</v>
      </c>
      <c r="V61" s="5" t="n">
        <v>80</v>
      </c>
      <c r="W61" s="5" t="n">
        <v>80</v>
      </c>
      <c r="X61" s="5" t="n">
        <v>80</v>
      </c>
      <c r="Y61" s="5" t="n">
        <v>80</v>
      </c>
      <c r="Z61" s="9" t="n">
        <f aca="false">SUM(B61:M61)</f>
        <v>456</v>
      </c>
      <c r="AA61" s="9" t="n">
        <f aca="false">SUM(N61:Y61)</f>
        <v>960</v>
      </c>
    </row>
    <row r="62" customFormat="false" ht="15" hidden="false" customHeight="false" outlineLevel="0" collapsed="false">
      <c r="A62" s="4" t="s">
        <v>145</v>
      </c>
      <c r="B62" s="5" t="n">
        <v>20</v>
      </c>
      <c r="C62" s="5" t="n">
        <v>20</v>
      </c>
      <c r="D62" s="5" t="n">
        <v>20</v>
      </c>
      <c r="E62" s="5" t="n">
        <v>20</v>
      </c>
      <c r="F62" s="5" t="n">
        <v>20</v>
      </c>
      <c r="G62" s="5" t="n">
        <v>20</v>
      </c>
      <c r="H62" s="5" t="n">
        <v>30</v>
      </c>
      <c r="I62" s="5" t="n">
        <v>30</v>
      </c>
      <c r="J62" s="5" t="n">
        <v>30</v>
      </c>
      <c r="K62" s="5" t="n">
        <v>30</v>
      </c>
      <c r="L62" s="5" t="n">
        <v>30</v>
      </c>
      <c r="M62" s="5" t="n">
        <v>30</v>
      </c>
      <c r="N62" s="5" t="n">
        <v>40</v>
      </c>
      <c r="O62" s="5" t="n">
        <v>40</v>
      </c>
      <c r="P62" s="5" t="n">
        <v>40</v>
      </c>
      <c r="Q62" s="5" t="n">
        <v>40</v>
      </c>
      <c r="R62" s="5" t="n">
        <v>40</v>
      </c>
      <c r="S62" s="5" t="n">
        <v>40</v>
      </c>
      <c r="T62" s="5" t="n">
        <v>50</v>
      </c>
      <c r="U62" s="5" t="n">
        <v>50</v>
      </c>
      <c r="V62" s="5" t="n">
        <v>50</v>
      </c>
      <c r="W62" s="5" t="n">
        <v>50</v>
      </c>
      <c r="X62" s="5" t="n">
        <v>50</v>
      </c>
      <c r="Y62" s="5" t="n">
        <v>50</v>
      </c>
      <c r="Z62" s="9" t="n">
        <f aca="false">SUM(B62:M62)</f>
        <v>300</v>
      </c>
      <c r="AA62" s="9" t="n">
        <f aca="false">SUM(N62:Y62)</f>
        <v>540</v>
      </c>
    </row>
    <row r="63" customFormat="false" ht="15" hidden="false" customHeight="false" outlineLevel="0" collapsed="false">
      <c r="A63" s="4" t="s">
        <v>146</v>
      </c>
      <c r="B63" s="5" t="n">
        <v>22</v>
      </c>
      <c r="C63" s="5" t="n">
        <v>22</v>
      </c>
      <c r="D63" s="5" t="n">
        <v>22</v>
      </c>
      <c r="E63" s="5" t="n">
        <v>44</v>
      </c>
      <c r="F63" s="5" t="n">
        <v>44</v>
      </c>
      <c r="G63" s="5" t="n">
        <v>44</v>
      </c>
      <c r="H63" s="5" t="n">
        <v>66</v>
      </c>
      <c r="I63" s="5" t="n">
        <v>66</v>
      </c>
      <c r="J63" s="5" t="n">
        <v>66</v>
      </c>
      <c r="K63" s="5" t="n">
        <v>66</v>
      </c>
      <c r="L63" s="5" t="n">
        <v>66</v>
      </c>
      <c r="M63" s="5" t="n">
        <v>66</v>
      </c>
      <c r="N63" s="5" t="n">
        <v>88</v>
      </c>
      <c r="O63" s="5" t="n">
        <v>88</v>
      </c>
      <c r="P63" s="5" t="n">
        <v>88</v>
      </c>
      <c r="Q63" s="5" t="n">
        <v>88</v>
      </c>
      <c r="R63" s="5" t="n">
        <v>88</v>
      </c>
      <c r="S63" s="5" t="n">
        <v>88</v>
      </c>
      <c r="T63" s="5" t="n">
        <v>110</v>
      </c>
      <c r="U63" s="5" t="n">
        <v>110</v>
      </c>
      <c r="V63" s="5" t="n">
        <v>110</v>
      </c>
      <c r="W63" s="5" t="n">
        <v>110</v>
      </c>
      <c r="X63" s="5" t="n">
        <v>110</v>
      </c>
      <c r="Y63" s="5" t="n">
        <v>110</v>
      </c>
      <c r="Z63" s="9" t="n">
        <f aca="false">SUM(B63:M63)</f>
        <v>594</v>
      </c>
      <c r="AA63" s="9" t="n">
        <f aca="false">SUM(N63:Y63)</f>
        <v>1188</v>
      </c>
    </row>
    <row r="64" customFormat="false" ht="15" hidden="false" customHeight="false" outlineLevel="0" collapsed="false">
      <c r="A64" s="4" t="s">
        <v>147</v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40</v>
      </c>
      <c r="I64" s="5" t="n">
        <v>40</v>
      </c>
      <c r="J64" s="5" t="n">
        <v>40</v>
      </c>
      <c r="K64" s="5" t="n">
        <v>40</v>
      </c>
      <c r="L64" s="5" t="n">
        <v>40</v>
      </c>
      <c r="M64" s="5" t="n">
        <v>40</v>
      </c>
      <c r="N64" s="5" t="n">
        <v>80</v>
      </c>
      <c r="O64" s="5" t="n">
        <v>80</v>
      </c>
      <c r="P64" s="5" t="n">
        <v>80</v>
      </c>
      <c r="Q64" s="5" t="n">
        <v>80</v>
      </c>
      <c r="R64" s="5" t="n">
        <v>80</v>
      </c>
      <c r="S64" s="5" t="n">
        <v>80</v>
      </c>
      <c r="T64" s="5" t="n">
        <v>100</v>
      </c>
      <c r="U64" s="5" t="n">
        <v>100</v>
      </c>
      <c r="V64" s="5" t="n">
        <v>100</v>
      </c>
      <c r="W64" s="5" t="n">
        <v>100</v>
      </c>
      <c r="X64" s="5" t="n">
        <v>100</v>
      </c>
      <c r="Y64" s="5" t="n">
        <v>100</v>
      </c>
      <c r="Z64" s="9" t="n">
        <f aca="false">SUM(B64:M64)</f>
        <v>240</v>
      </c>
      <c r="AA64" s="9" t="n">
        <f aca="false">SUM(N64:Y64)</f>
        <v>1080</v>
      </c>
    </row>
    <row r="65" customFormat="false" ht="15" hidden="false" customHeight="false" outlineLevel="0" collapsed="false">
      <c r="A65" s="4" t="s">
        <v>148</v>
      </c>
      <c r="B65" s="5" t="n">
        <v>8</v>
      </c>
      <c r="C65" s="5" t="n">
        <v>8</v>
      </c>
      <c r="D65" s="5" t="n">
        <v>8</v>
      </c>
      <c r="E65" s="5" t="n">
        <v>16</v>
      </c>
      <c r="F65" s="5" t="n">
        <v>16</v>
      </c>
      <c r="G65" s="5" t="n">
        <v>16</v>
      </c>
      <c r="H65" s="5" t="n">
        <v>32</v>
      </c>
      <c r="I65" s="5" t="n">
        <v>32</v>
      </c>
      <c r="J65" s="5" t="n">
        <v>32</v>
      </c>
      <c r="K65" s="5" t="n">
        <v>32</v>
      </c>
      <c r="L65" s="5" t="n">
        <v>32</v>
      </c>
      <c r="M65" s="5" t="n">
        <v>32</v>
      </c>
      <c r="N65" s="5" t="n">
        <v>48</v>
      </c>
      <c r="O65" s="5" t="n">
        <v>48</v>
      </c>
      <c r="P65" s="5" t="n">
        <v>48</v>
      </c>
      <c r="Q65" s="5" t="n">
        <v>48</v>
      </c>
      <c r="R65" s="5" t="n">
        <v>48</v>
      </c>
      <c r="S65" s="5" t="n">
        <v>48</v>
      </c>
      <c r="T65" s="5" t="n">
        <v>64</v>
      </c>
      <c r="U65" s="5" t="n">
        <v>64</v>
      </c>
      <c r="V65" s="5" t="n">
        <v>64</v>
      </c>
      <c r="W65" s="5" t="n">
        <v>64</v>
      </c>
      <c r="X65" s="5" t="n">
        <v>64</v>
      </c>
      <c r="Y65" s="5" t="n">
        <v>64</v>
      </c>
      <c r="Z65" s="9" t="n">
        <f aca="false">SUM(B65:M65)</f>
        <v>264</v>
      </c>
      <c r="AA65" s="9" t="n">
        <f aca="false">SUM(N65:Y65)</f>
        <v>672</v>
      </c>
    </row>
    <row r="66" customFormat="false" ht="15" hidden="false" customHeight="false" outlineLevel="0" collapsed="false">
      <c r="A66" s="4" t="s">
        <v>149</v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50</v>
      </c>
      <c r="H66" s="5" t="n">
        <v>50</v>
      </c>
      <c r="I66" s="5" t="n">
        <v>50</v>
      </c>
      <c r="J66" s="5" t="n">
        <v>50</v>
      </c>
      <c r="K66" s="5" t="n">
        <v>50</v>
      </c>
      <c r="L66" s="5" t="n">
        <v>50</v>
      </c>
      <c r="M66" s="5" t="n">
        <v>50</v>
      </c>
      <c r="N66" s="5" t="n">
        <v>100</v>
      </c>
      <c r="O66" s="5" t="n">
        <v>100</v>
      </c>
      <c r="P66" s="5" t="n">
        <v>100</v>
      </c>
      <c r="Q66" s="5" t="n">
        <v>100</v>
      </c>
      <c r="R66" s="5" t="n">
        <v>100</v>
      </c>
      <c r="S66" s="5" t="n">
        <v>100</v>
      </c>
      <c r="T66" s="5" t="n">
        <v>100</v>
      </c>
      <c r="U66" s="5" t="n">
        <v>100</v>
      </c>
      <c r="V66" s="5" t="n">
        <v>100</v>
      </c>
      <c r="W66" s="5" t="n">
        <v>100</v>
      </c>
      <c r="X66" s="5" t="n">
        <v>100</v>
      </c>
      <c r="Y66" s="5" t="n">
        <v>100</v>
      </c>
      <c r="Z66" s="9" t="n">
        <f aca="false">SUM(B66:M66)</f>
        <v>350</v>
      </c>
      <c r="AA66" s="9" t="n">
        <f aca="false">SUM(N66:Y66)</f>
        <v>1200</v>
      </c>
    </row>
    <row r="67" customFormat="false" ht="15" hidden="false" customHeight="false" outlineLevel="0" collapsed="false">
      <c r="A67" s="4" t="s">
        <v>150</v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15</v>
      </c>
      <c r="I67" s="5" t="n">
        <v>15</v>
      </c>
      <c r="J67" s="5" t="n">
        <v>15</v>
      </c>
      <c r="K67" s="5" t="n">
        <v>15</v>
      </c>
      <c r="L67" s="5" t="n">
        <v>15</v>
      </c>
      <c r="M67" s="5" t="n">
        <v>15</v>
      </c>
      <c r="N67" s="5" t="n">
        <v>30</v>
      </c>
      <c r="O67" s="5" t="n">
        <v>30</v>
      </c>
      <c r="P67" s="5" t="n">
        <v>30</v>
      </c>
      <c r="Q67" s="5" t="n">
        <v>30</v>
      </c>
      <c r="R67" s="5" t="n">
        <v>30</v>
      </c>
      <c r="S67" s="5" t="n">
        <v>30</v>
      </c>
      <c r="T67" s="5" t="n">
        <v>30</v>
      </c>
      <c r="U67" s="5" t="n">
        <v>30</v>
      </c>
      <c r="V67" s="5" t="n">
        <v>30</v>
      </c>
      <c r="W67" s="5" t="n">
        <v>30</v>
      </c>
      <c r="X67" s="5" t="n">
        <v>30</v>
      </c>
      <c r="Y67" s="5" t="n">
        <v>30</v>
      </c>
      <c r="Z67" s="9" t="n">
        <f aca="false">SUM(B67:M67)</f>
        <v>90</v>
      </c>
      <c r="AA67" s="9" t="n">
        <f aca="false">SUM(N67:Y67)</f>
        <v>360</v>
      </c>
    </row>
    <row r="68" customFormat="false" ht="15" hidden="false" customHeight="false" outlineLevel="0" collapsed="false">
      <c r="A68" s="4" t="s">
        <v>151</v>
      </c>
      <c r="B68" s="5" t="n">
        <v>30</v>
      </c>
      <c r="C68" s="5" t="n">
        <v>30</v>
      </c>
      <c r="D68" s="5" t="n">
        <v>30</v>
      </c>
      <c r="E68" s="5" t="n">
        <v>50</v>
      </c>
      <c r="F68" s="5" t="n">
        <v>50</v>
      </c>
      <c r="G68" s="5" t="n">
        <v>50</v>
      </c>
      <c r="H68" s="5" t="n">
        <v>80</v>
      </c>
      <c r="I68" s="5" t="n">
        <v>80</v>
      </c>
      <c r="J68" s="5" t="n">
        <v>80</v>
      </c>
      <c r="K68" s="5" t="n">
        <v>80</v>
      </c>
      <c r="L68" s="5" t="n">
        <v>80</v>
      </c>
      <c r="M68" s="5" t="n">
        <v>80</v>
      </c>
      <c r="N68" s="5" t="n">
        <v>150</v>
      </c>
      <c r="O68" s="5" t="n">
        <v>150</v>
      </c>
      <c r="P68" s="5" t="n">
        <v>150</v>
      </c>
      <c r="Q68" s="5" t="n">
        <v>150</v>
      </c>
      <c r="R68" s="5" t="n">
        <v>150</v>
      </c>
      <c r="S68" s="5" t="n">
        <v>150</v>
      </c>
      <c r="T68" s="5" t="n">
        <v>300</v>
      </c>
      <c r="U68" s="5" t="n">
        <v>300</v>
      </c>
      <c r="V68" s="5" t="n">
        <v>300</v>
      </c>
      <c r="W68" s="5" t="n">
        <v>300</v>
      </c>
      <c r="X68" s="5" t="n">
        <v>300</v>
      </c>
      <c r="Y68" s="5" t="n">
        <v>300</v>
      </c>
      <c r="Z68" s="9" t="n">
        <f aca="false">SUM(B68:M68)</f>
        <v>720</v>
      </c>
      <c r="AA68" s="9" t="n">
        <f aca="false">SUM(N68:Y68)</f>
        <v>2700</v>
      </c>
    </row>
    <row r="69" customFormat="false" ht="15" hidden="false" customHeight="false" outlineLevel="0" collapsed="false">
      <c r="A69" s="4" t="s">
        <v>152</v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1000</v>
      </c>
      <c r="O69" s="5" t="n">
        <v>1000</v>
      </c>
      <c r="P69" s="5" t="n">
        <v>1000</v>
      </c>
      <c r="Q69" s="5" t="n">
        <v>2000</v>
      </c>
      <c r="R69" s="5" t="n">
        <v>2000</v>
      </c>
      <c r="S69" s="5" t="n">
        <v>2000</v>
      </c>
      <c r="T69" s="5" t="n">
        <v>3000</v>
      </c>
      <c r="U69" s="5" t="n">
        <v>3000</v>
      </c>
      <c r="V69" s="5" t="n">
        <v>3000</v>
      </c>
      <c r="W69" s="5" t="n">
        <v>1500</v>
      </c>
      <c r="X69" s="5" t="n">
        <v>1500</v>
      </c>
      <c r="Y69" s="5" t="n">
        <v>1500</v>
      </c>
      <c r="Z69" s="9" t="n">
        <f aca="false">SUM(B69:M69)</f>
        <v>0</v>
      </c>
      <c r="AA69" s="9" t="n">
        <f aca="false">SUM(N69:Y69)</f>
        <v>22500</v>
      </c>
    </row>
    <row r="70" customFormat="false" ht="15" hidden="false" customHeight="false" outlineLevel="0" collapsed="false">
      <c r="A70" s="4" t="s">
        <v>153</v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2500</v>
      </c>
      <c r="Q70" s="5" t="n">
        <v>0</v>
      </c>
      <c r="R70" s="5" t="n">
        <v>0</v>
      </c>
      <c r="S70" s="5" t="n">
        <v>2500</v>
      </c>
      <c r="T70" s="5" t="n">
        <v>0</v>
      </c>
      <c r="U70" s="5" t="n">
        <v>0</v>
      </c>
      <c r="V70" s="5" t="n">
        <v>2500</v>
      </c>
      <c r="W70" s="5" t="n">
        <v>0</v>
      </c>
      <c r="X70" s="5" t="n">
        <v>0</v>
      </c>
      <c r="Y70" s="5" t="n">
        <v>2500</v>
      </c>
      <c r="Z70" s="9" t="n">
        <f aca="false">SUM(B70:M70)</f>
        <v>0</v>
      </c>
      <c r="AA70" s="9" t="n">
        <f aca="false">SUM(N70:Y70)</f>
        <v>10000</v>
      </c>
    </row>
    <row r="71" customFormat="false" ht="15" hidden="false" customHeight="false" outlineLevel="0" collapsed="false">
      <c r="A71" s="4" t="s">
        <v>154</v>
      </c>
      <c r="B71" s="5" t="n">
        <v>0</v>
      </c>
      <c r="C71" s="5" t="n">
        <v>0</v>
      </c>
      <c r="D71" s="5" t="n">
        <v>0</v>
      </c>
      <c r="E71" s="5" t="n">
        <v>3000</v>
      </c>
      <c r="F71" s="5" t="n">
        <v>0</v>
      </c>
      <c r="G71" s="5" t="n">
        <v>2800</v>
      </c>
      <c r="H71" s="5" t="n">
        <v>0</v>
      </c>
      <c r="I71" s="5" t="n">
        <v>3500</v>
      </c>
      <c r="J71" s="5" t="n">
        <v>0</v>
      </c>
      <c r="K71" s="5" t="n">
        <v>6000</v>
      </c>
      <c r="L71" s="5" t="n">
        <v>0</v>
      </c>
      <c r="M71" s="5" t="n">
        <v>0</v>
      </c>
      <c r="N71" s="5" t="n">
        <v>4000</v>
      </c>
      <c r="O71" s="5" t="n">
        <v>3500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4000</v>
      </c>
      <c r="U71" s="5" t="n">
        <v>3500</v>
      </c>
      <c r="V71" s="5" t="n">
        <v>0</v>
      </c>
      <c r="W71" s="5" t="n">
        <v>0</v>
      </c>
      <c r="X71" s="5" t="n">
        <v>0</v>
      </c>
      <c r="Y71" s="5" t="n">
        <v>0</v>
      </c>
      <c r="Z71" s="9" t="n">
        <f aca="false">SUM(B71:M71)</f>
        <v>15300</v>
      </c>
      <c r="AA71" s="9" t="n">
        <f aca="false">SUM(N71:Y71)</f>
        <v>15000</v>
      </c>
    </row>
    <row r="72" customFormat="false" ht="15" hidden="false" customHeight="false" outlineLevel="0" collapsed="false">
      <c r="A72" s="11" t="s">
        <v>155</v>
      </c>
      <c r="B72" s="12" t="n">
        <f aca="false">B48+B49+B50+B51+B52+B53+B54+B55+B56+B57+B58+B59+B60+B61+B62+B63+B64+B65+B66+B67+B68+B69+B70+B71</f>
        <v>1536</v>
      </c>
      <c r="C72" s="12" t="n">
        <f aca="false">C48+C49+C50+C51+C52+C53+C54+C55+C56+C57+C58+C59+C60+C61+C62+C63+C64+C65+C66+C67+C68+C69+C70+C71</f>
        <v>1536</v>
      </c>
      <c r="D72" s="12" t="n">
        <f aca="false">D48+D49+D50+D51+D52+D53+D54+D55+D56+D57+D58+D59+D60+D61+D62+D63+D64+D65+D66+D67+D68+D69+D70+D71</f>
        <v>1536</v>
      </c>
      <c r="E72" s="12" t="n">
        <f aca="false">E48+E49+E50+E51+E52+E53+E54+E55+E56+E57+E58+E59+E60+E61+E62+E63+E64+E65+E66+E67+E68+E69+E70+E71</f>
        <v>16586</v>
      </c>
      <c r="F72" s="12" t="n">
        <f aca="false">F48+F49+F50+F51+F52+F53+F54+F55+F56+F57+F58+F59+F60+F61+F62+F63+F64+F65+F66+F67+F68+F69+F70+F71</f>
        <v>13586</v>
      </c>
      <c r="G72" s="12" t="n">
        <f aca="false">G48+G49+G50+G51+G52+G53+G54+G55+G56+G57+G58+G59+G60+G61+G62+G63+G64+G65+G66+G67+G68+G69+G70+G71</f>
        <v>27436.4</v>
      </c>
      <c r="H72" s="12" t="n">
        <f aca="false">H48+H49+H50+H51+H52+H53+H54+H55+H56+H57+H58+H59+H60+H61+H62+H63+H64+H65+H66+H67+H68+H69+H70+H71</f>
        <v>25553.8</v>
      </c>
      <c r="I72" s="12" t="n">
        <f aca="false">I48+I49+I50+I51+I52+I53+I54+I55+I56+I57+I58+I59+I60+I61+I62+I63+I64+I65+I66+I67+I68+I69+I70+I71</f>
        <v>41053.8</v>
      </c>
      <c r="J72" s="12" t="n">
        <f aca="false">J48+J49+J50+J51+J52+J53+J54+J55+J56+J57+J58+J59+J60+J61+J62+J63+J64+J65+J66+J67+J68+J69+J70+J71</f>
        <v>37553.8</v>
      </c>
      <c r="K72" s="12" t="n">
        <f aca="false">K48+K49+K50+K51+K52+K53+K54+K55+K56+K57+K58+K59+K60+K61+K62+K63+K64+K65+K66+K67+K68+K69+K70+K71</f>
        <v>61670.4</v>
      </c>
      <c r="L72" s="12" t="n">
        <f aca="false">L48+L49+L50+L51+L52+L53+L54+L55+L56+L57+L58+L59+L60+L61+L62+L63+L64+L65+L66+L67+L68+L69+L70+L71</f>
        <v>55670.4</v>
      </c>
      <c r="M72" s="12" t="n">
        <f aca="false">M48+M49+M50+M51+M52+M53+M54+M55+M56+M57+M58+M59+M60+M61+M62+M63+M64+M65+M66+M67+M68+M69+M70+M71</f>
        <v>55670.4</v>
      </c>
      <c r="N72" s="12" t="n">
        <f aca="false">N48+N49+N50+N51+N52+N53+N54+N55+N56+N57+N58+N59+N60+N61+N62+N63+N64+N65+N66+N67+N68+N69+N70+N71</f>
        <v>75424</v>
      </c>
      <c r="O72" s="12" t="n">
        <f aca="false">O48+O49+O50+O51+O52+O53+O54+O55+O56+O57+O58+O59+O60+O61+O62+O63+O64+O65+O66+O67+O68+O69+O70+O71</f>
        <v>85924.4</v>
      </c>
      <c r="P72" s="12" t="n">
        <f aca="false">P48+P49+P50+P51+P52+P53+P54+P55+P56+P57+P58+P59+P60+P61+P62+P63+P64+P65+P66+P67+P68+P69+P70+P71</f>
        <v>84924.4</v>
      </c>
      <c r="Q72" s="12" t="n">
        <f aca="false">Q48+Q49+Q50+Q51+Q52+Q53+Q54+Q55+Q56+Q57+Q58+Q59+Q60+Q61+Q62+Q63+Q64+Q65+Q66+Q67+Q68+Q69+Q70+Q71</f>
        <v>84124.4</v>
      </c>
      <c r="R72" s="12" t="n">
        <f aca="false">R48+R49+R50+R51+R52+R53+R54+R55+R56+R57+R58+R59+R60+R61+R62+R63+R64+R65+R66+R67+R68+R69+R70+R71</f>
        <v>84124.4</v>
      </c>
      <c r="S72" s="12" t="n">
        <f aca="false">S48+S49+S50+S51+S52+S53+S54+S55+S56+S57+S58+S59+S60+S61+S62+S63+S64+S65+S66+S67+S68+S69+S70+S71</f>
        <v>86624.4</v>
      </c>
      <c r="T72" s="12" t="n">
        <f aca="false">T48+T49+T50+T51+T52+T53+T54+T55+T56+T57+T58+T59+T60+T61+T62+T63+T64+T65+T66+T67+T68+T69+T70+T71</f>
        <v>90292.4</v>
      </c>
      <c r="U72" s="12" t="n">
        <f aca="false">U48+U49+U50+U51+U52+U53+U54+U55+U56+U57+U58+U59+U60+U61+U62+U63+U64+U65+U66+U67+U68+U69+U70+U71</f>
        <v>109125.8</v>
      </c>
      <c r="V72" s="12" t="n">
        <f aca="false">V48+V49+V50+V51+V52+V53+V54+V55+V56+V57+V58+V59+V60+V61+V62+V63+V64+V65+V66+V67+V68+V69+V70+V71</f>
        <v>108125.8</v>
      </c>
      <c r="W72" s="12" t="n">
        <f aca="false">W48+W49+W50+W51+W52+W53+W54+W55+W56+W57+W58+W59+W60+W61+W62+W63+W64+W65+W66+W67+W68+W69+W70+W71</f>
        <v>105125.8</v>
      </c>
      <c r="X72" s="12" t="n">
        <f aca="false">X48+X49+X50+X51+X52+X53+X54+X55+X56+X57+X58+X59+X60+X61+X62+X63+X64+X65+X66+X67+X68+X69+X70+X71</f>
        <v>105125.8</v>
      </c>
      <c r="Y72" s="12" t="n">
        <f aca="false">Y48+Y49+Y50+Y51+Y52+Y53+Y54+Y55+Y56+Y57+Y58+Y59+Y60+Y61+Y62+Y63+Y64+Y65+Y66+Y67+Y68+Y69+Y70+Y71</f>
        <v>107625.8</v>
      </c>
      <c r="Z72" s="12" t="n">
        <f aca="false">SUM(B72:M72)</f>
        <v>339389</v>
      </c>
      <c r="AA72" s="12" t="n">
        <f aca="false">SUM(N72:Y72)</f>
        <v>1126567.4</v>
      </c>
    </row>
    <row r="74" customFormat="false" ht="15" hidden="false" customHeight="false" outlineLevel="0" collapsed="false">
      <c r="A74" s="2" t="s">
        <v>48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customFormat="false" ht="15" hidden="false" customHeight="false" outlineLevel="0" collapsed="false">
      <c r="A75" s="4" t="s">
        <v>156</v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10000</v>
      </c>
      <c r="O75" s="5" t="n">
        <v>10000</v>
      </c>
      <c r="P75" s="5" t="n">
        <v>10000</v>
      </c>
      <c r="Q75" s="5" t="n">
        <v>10000</v>
      </c>
      <c r="R75" s="5" t="n">
        <v>10000</v>
      </c>
      <c r="S75" s="5" t="n">
        <v>10000</v>
      </c>
      <c r="T75" s="5" t="n">
        <v>10000</v>
      </c>
      <c r="U75" s="5" t="n">
        <v>10000</v>
      </c>
      <c r="V75" s="5" t="n">
        <v>10000</v>
      </c>
      <c r="W75" s="5" t="n">
        <v>10000</v>
      </c>
      <c r="X75" s="5" t="n">
        <v>10000</v>
      </c>
      <c r="Y75" s="5" t="n">
        <v>10000</v>
      </c>
      <c r="Z75" s="9" t="n">
        <f aca="false">SUM(B75:M75)</f>
        <v>0</v>
      </c>
      <c r="AA75" s="9" t="n">
        <f aca="false">SUM(N75:Y75)</f>
        <v>120000</v>
      </c>
    </row>
    <row r="76" customFormat="false" ht="15" hidden="false" customHeight="false" outlineLevel="0" collapsed="false">
      <c r="A76" s="4" t="s">
        <v>157</v>
      </c>
      <c r="B76" s="9" t="n">
        <f aca="false">B75*0.2</f>
        <v>0</v>
      </c>
      <c r="C76" s="9" t="n">
        <f aca="false">C75*0.2</f>
        <v>0</v>
      </c>
      <c r="D76" s="9" t="n">
        <f aca="false">D75*0.2</f>
        <v>0</v>
      </c>
      <c r="E76" s="9" t="n">
        <f aca="false">E75*0.2</f>
        <v>0</v>
      </c>
      <c r="F76" s="9" t="n">
        <f aca="false">F75*0.2</f>
        <v>0</v>
      </c>
      <c r="G76" s="9" t="n">
        <f aca="false">G75*0.2</f>
        <v>0</v>
      </c>
      <c r="H76" s="9" t="n">
        <f aca="false">H75*0.2</f>
        <v>0</v>
      </c>
      <c r="I76" s="9" t="n">
        <f aca="false">I75*0.2</f>
        <v>0</v>
      </c>
      <c r="J76" s="9" t="n">
        <f aca="false">J75*0.2</f>
        <v>0</v>
      </c>
      <c r="K76" s="9" t="n">
        <f aca="false">K75*0.2</f>
        <v>0</v>
      </c>
      <c r="L76" s="9" t="n">
        <f aca="false">L75*0.2</f>
        <v>0</v>
      </c>
      <c r="M76" s="9" t="n">
        <f aca="false">M75*0.2</f>
        <v>0</v>
      </c>
      <c r="N76" s="9" t="n">
        <f aca="false">N75*0.2</f>
        <v>2000</v>
      </c>
      <c r="O76" s="9" t="n">
        <f aca="false">O75*0.2</f>
        <v>2000</v>
      </c>
      <c r="P76" s="9" t="n">
        <f aca="false">P75*0.2</f>
        <v>2000</v>
      </c>
      <c r="Q76" s="9" t="n">
        <f aca="false">Q75*0.2</f>
        <v>2000</v>
      </c>
      <c r="R76" s="9" t="n">
        <f aca="false">R75*0.2</f>
        <v>2000</v>
      </c>
      <c r="S76" s="9" t="n">
        <f aca="false">S75*0.2</f>
        <v>2000</v>
      </c>
      <c r="T76" s="9" t="n">
        <f aca="false">T75*0.2</f>
        <v>2000</v>
      </c>
      <c r="U76" s="9" t="n">
        <f aca="false">U75*0.2</f>
        <v>2000</v>
      </c>
      <c r="V76" s="9" t="n">
        <f aca="false">V75*0.2</f>
        <v>2000</v>
      </c>
      <c r="W76" s="9" t="n">
        <f aca="false">W75*0.2</f>
        <v>2000</v>
      </c>
      <c r="X76" s="9" t="n">
        <f aca="false">X75*0.2</f>
        <v>2000</v>
      </c>
      <c r="Y76" s="9" t="n">
        <f aca="false">Y75*0.2</f>
        <v>2000</v>
      </c>
      <c r="Z76" s="9" t="n">
        <f aca="false">SUM(B76:M76)</f>
        <v>0</v>
      </c>
      <c r="AA76" s="9" t="n">
        <f aca="false">SUM(N76:Y76)</f>
        <v>24000</v>
      </c>
    </row>
    <row r="77" customFormat="false" ht="15" hidden="false" customHeight="false" outlineLevel="0" collapsed="false">
      <c r="A77" s="4" t="s">
        <v>158</v>
      </c>
      <c r="B77" s="5" t="n">
        <v>500</v>
      </c>
      <c r="C77" s="5" t="n">
        <v>500</v>
      </c>
      <c r="D77" s="5" t="n">
        <v>500</v>
      </c>
      <c r="E77" s="5" t="n">
        <v>500</v>
      </c>
      <c r="F77" s="5" t="n">
        <v>500</v>
      </c>
      <c r="G77" s="5" t="n">
        <v>500</v>
      </c>
      <c r="H77" s="5" t="n">
        <v>750</v>
      </c>
      <c r="I77" s="5" t="n">
        <v>750</v>
      </c>
      <c r="J77" s="5" t="n">
        <v>750</v>
      </c>
      <c r="K77" s="5" t="n">
        <v>750</v>
      </c>
      <c r="L77" s="5" t="n">
        <v>750</v>
      </c>
      <c r="M77" s="5" t="n">
        <v>750</v>
      </c>
      <c r="N77" s="5" t="n">
        <v>1000</v>
      </c>
      <c r="O77" s="5" t="n">
        <v>1000</v>
      </c>
      <c r="P77" s="5" t="n">
        <v>1000</v>
      </c>
      <c r="Q77" s="5" t="n">
        <v>1000</v>
      </c>
      <c r="R77" s="5" t="n">
        <v>1000</v>
      </c>
      <c r="S77" s="5" t="n">
        <v>1000</v>
      </c>
      <c r="T77" s="5" t="n">
        <v>1500</v>
      </c>
      <c r="U77" s="5" t="n">
        <v>1500</v>
      </c>
      <c r="V77" s="5" t="n">
        <v>1500</v>
      </c>
      <c r="W77" s="5" t="n">
        <v>1500</v>
      </c>
      <c r="X77" s="5" t="n">
        <v>1500</v>
      </c>
      <c r="Y77" s="5" t="n">
        <v>1500</v>
      </c>
      <c r="Z77" s="9" t="n">
        <f aca="false">SUM(B77:M77)</f>
        <v>7500</v>
      </c>
      <c r="AA77" s="9" t="n">
        <f aca="false">SUM(N77:Y77)</f>
        <v>15000</v>
      </c>
    </row>
    <row r="78" customFormat="false" ht="15" hidden="false" customHeight="false" outlineLevel="0" collapsed="false">
      <c r="A78" s="4" t="s">
        <v>159</v>
      </c>
      <c r="B78" s="5" t="n">
        <v>1000</v>
      </c>
      <c r="C78" s="5" t="n">
        <v>1000</v>
      </c>
      <c r="D78" s="5" t="n">
        <v>1000</v>
      </c>
      <c r="E78" s="5" t="n">
        <v>1000</v>
      </c>
      <c r="F78" s="5" t="n">
        <v>1000</v>
      </c>
      <c r="G78" s="5" t="n">
        <v>1000</v>
      </c>
      <c r="H78" s="5" t="n">
        <v>1500</v>
      </c>
      <c r="I78" s="5" t="n">
        <v>1500</v>
      </c>
      <c r="J78" s="5" t="n">
        <v>1500</v>
      </c>
      <c r="K78" s="5" t="n">
        <v>1500</v>
      </c>
      <c r="L78" s="5" t="n">
        <v>1500</v>
      </c>
      <c r="M78" s="5" t="n">
        <v>1500</v>
      </c>
      <c r="N78" s="5" t="n">
        <v>2000</v>
      </c>
      <c r="O78" s="5" t="n">
        <v>2000</v>
      </c>
      <c r="P78" s="5" t="n">
        <v>2000</v>
      </c>
      <c r="Q78" s="5" t="n">
        <v>2000</v>
      </c>
      <c r="R78" s="5" t="n">
        <v>2000</v>
      </c>
      <c r="S78" s="5" t="n">
        <v>2000</v>
      </c>
      <c r="T78" s="5" t="n">
        <v>2500</v>
      </c>
      <c r="U78" s="5" t="n">
        <v>2500</v>
      </c>
      <c r="V78" s="5" t="n">
        <v>2500</v>
      </c>
      <c r="W78" s="5" t="n">
        <v>2500</v>
      </c>
      <c r="X78" s="5" t="n">
        <v>2500</v>
      </c>
      <c r="Y78" s="5" t="n">
        <v>2500</v>
      </c>
      <c r="Z78" s="9" t="n">
        <f aca="false">SUM(B78:M78)</f>
        <v>15000</v>
      </c>
      <c r="AA78" s="9" t="n">
        <f aca="false">SUM(N78:Y78)</f>
        <v>27000</v>
      </c>
    </row>
    <row r="79" customFormat="false" ht="15" hidden="false" customHeight="false" outlineLevel="0" collapsed="false">
      <c r="A79" s="4" t="s">
        <v>160</v>
      </c>
      <c r="B79" s="5" t="n">
        <v>400</v>
      </c>
      <c r="C79" s="5" t="n">
        <v>400</v>
      </c>
      <c r="D79" s="5" t="n">
        <v>400</v>
      </c>
      <c r="E79" s="5" t="n">
        <v>400</v>
      </c>
      <c r="F79" s="5" t="n">
        <v>400</v>
      </c>
      <c r="G79" s="5" t="n">
        <v>400</v>
      </c>
      <c r="H79" s="5" t="n">
        <v>400</v>
      </c>
      <c r="I79" s="5" t="n">
        <v>400</v>
      </c>
      <c r="J79" s="5" t="n">
        <v>400</v>
      </c>
      <c r="K79" s="5" t="n">
        <v>400</v>
      </c>
      <c r="L79" s="5" t="n">
        <v>400</v>
      </c>
      <c r="M79" s="5" t="n">
        <v>400</v>
      </c>
      <c r="N79" s="5" t="n">
        <v>600</v>
      </c>
      <c r="O79" s="5" t="n">
        <v>600</v>
      </c>
      <c r="P79" s="5" t="n">
        <v>600</v>
      </c>
      <c r="Q79" s="5" t="n">
        <v>600</v>
      </c>
      <c r="R79" s="5" t="n">
        <v>600</v>
      </c>
      <c r="S79" s="5" t="n">
        <v>600</v>
      </c>
      <c r="T79" s="5" t="n">
        <v>800</v>
      </c>
      <c r="U79" s="5" t="n">
        <v>800</v>
      </c>
      <c r="V79" s="5" t="n">
        <v>800</v>
      </c>
      <c r="W79" s="5" t="n">
        <v>800</v>
      </c>
      <c r="X79" s="5" t="n">
        <v>800</v>
      </c>
      <c r="Y79" s="5" t="n">
        <v>800</v>
      </c>
      <c r="Z79" s="9" t="n">
        <f aca="false">SUM(B79:M79)</f>
        <v>4800</v>
      </c>
      <c r="AA79" s="9" t="n">
        <f aca="false">SUM(N79:Y79)</f>
        <v>8400</v>
      </c>
    </row>
    <row r="80" customFormat="false" ht="15" hidden="false" customHeight="false" outlineLevel="0" collapsed="false">
      <c r="A80" s="4" t="s">
        <v>161</v>
      </c>
      <c r="B80" s="5" t="n">
        <v>100</v>
      </c>
      <c r="C80" s="5" t="n">
        <v>100</v>
      </c>
      <c r="D80" s="5" t="n">
        <v>100</v>
      </c>
      <c r="E80" s="5" t="n">
        <v>100</v>
      </c>
      <c r="F80" s="5" t="n">
        <v>100</v>
      </c>
      <c r="G80" s="5" t="n">
        <v>100</v>
      </c>
      <c r="H80" s="5" t="n">
        <v>100</v>
      </c>
      <c r="I80" s="5" t="n">
        <v>100</v>
      </c>
      <c r="J80" s="5" t="n">
        <v>100</v>
      </c>
      <c r="K80" s="5" t="n">
        <v>100</v>
      </c>
      <c r="L80" s="5" t="n">
        <v>100</v>
      </c>
      <c r="M80" s="5" t="n">
        <v>100</v>
      </c>
      <c r="N80" s="5" t="n">
        <v>150</v>
      </c>
      <c r="O80" s="5" t="n">
        <v>150</v>
      </c>
      <c r="P80" s="5" t="n">
        <v>150</v>
      </c>
      <c r="Q80" s="5" t="n">
        <v>150</v>
      </c>
      <c r="R80" s="5" t="n">
        <v>150</v>
      </c>
      <c r="S80" s="5" t="n">
        <v>150</v>
      </c>
      <c r="T80" s="5" t="n">
        <v>200</v>
      </c>
      <c r="U80" s="5" t="n">
        <v>200</v>
      </c>
      <c r="V80" s="5" t="n">
        <v>200</v>
      </c>
      <c r="W80" s="5" t="n">
        <v>200</v>
      </c>
      <c r="X80" s="5" t="n">
        <v>200</v>
      </c>
      <c r="Y80" s="5" t="n">
        <v>200</v>
      </c>
      <c r="Z80" s="9" t="n">
        <f aca="false">SUM(B80:M80)</f>
        <v>1200</v>
      </c>
      <c r="AA80" s="9" t="n">
        <f aca="false">SUM(N80:Y80)</f>
        <v>2100</v>
      </c>
    </row>
    <row r="81" customFormat="false" ht="15" hidden="false" customHeight="false" outlineLevel="0" collapsed="false">
      <c r="A81" s="4" t="s">
        <v>162</v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200</v>
      </c>
      <c r="I81" s="5" t="n">
        <v>200</v>
      </c>
      <c r="J81" s="5" t="n">
        <v>200</v>
      </c>
      <c r="K81" s="5" t="n">
        <v>200</v>
      </c>
      <c r="L81" s="5" t="n">
        <v>200</v>
      </c>
      <c r="M81" s="5" t="n">
        <v>200</v>
      </c>
      <c r="N81" s="5" t="n">
        <v>300</v>
      </c>
      <c r="O81" s="5" t="n">
        <v>300</v>
      </c>
      <c r="P81" s="5" t="n">
        <v>300</v>
      </c>
      <c r="Q81" s="5" t="n">
        <v>300</v>
      </c>
      <c r="R81" s="5" t="n">
        <v>300</v>
      </c>
      <c r="S81" s="5" t="n">
        <v>300</v>
      </c>
      <c r="T81" s="5" t="n">
        <v>500</v>
      </c>
      <c r="U81" s="5" t="n">
        <v>500</v>
      </c>
      <c r="V81" s="5" t="n">
        <v>500</v>
      </c>
      <c r="W81" s="5" t="n">
        <v>500</v>
      </c>
      <c r="X81" s="5" t="n">
        <v>500</v>
      </c>
      <c r="Y81" s="5" t="n">
        <v>500</v>
      </c>
      <c r="Z81" s="9" t="n">
        <f aca="false">SUM(B81:M81)</f>
        <v>1200</v>
      </c>
      <c r="AA81" s="9" t="n">
        <f aca="false">SUM(N81:Y81)</f>
        <v>4800</v>
      </c>
    </row>
    <row r="82" customFormat="false" ht="15" hidden="false" customHeight="false" outlineLevel="0" collapsed="false">
      <c r="A82" s="4" t="s">
        <v>163</v>
      </c>
      <c r="B82" s="5" t="n">
        <v>50</v>
      </c>
      <c r="C82" s="5" t="n">
        <v>50</v>
      </c>
      <c r="D82" s="5" t="n">
        <v>50</v>
      </c>
      <c r="E82" s="5" t="n">
        <v>50</v>
      </c>
      <c r="F82" s="5" t="n">
        <v>50</v>
      </c>
      <c r="G82" s="5" t="n">
        <v>50</v>
      </c>
      <c r="H82" s="5" t="n">
        <v>100</v>
      </c>
      <c r="I82" s="5" t="n">
        <v>100</v>
      </c>
      <c r="J82" s="5" t="n">
        <v>100</v>
      </c>
      <c r="K82" s="5" t="n">
        <v>100</v>
      </c>
      <c r="L82" s="5" t="n">
        <v>100</v>
      </c>
      <c r="M82" s="5" t="n">
        <v>100</v>
      </c>
      <c r="N82" s="5" t="n">
        <v>150</v>
      </c>
      <c r="O82" s="5" t="n">
        <v>150</v>
      </c>
      <c r="P82" s="5" t="n">
        <v>150</v>
      </c>
      <c r="Q82" s="5" t="n">
        <v>150</v>
      </c>
      <c r="R82" s="5" t="n">
        <v>150</v>
      </c>
      <c r="S82" s="5" t="n">
        <v>150</v>
      </c>
      <c r="T82" s="5" t="n">
        <v>200</v>
      </c>
      <c r="U82" s="5" t="n">
        <v>200</v>
      </c>
      <c r="V82" s="5" t="n">
        <v>200</v>
      </c>
      <c r="W82" s="5" t="n">
        <v>200</v>
      </c>
      <c r="X82" s="5" t="n">
        <v>200</v>
      </c>
      <c r="Y82" s="5" t="n">
        <v>200</v>
      </c>
      <c r="Z82" s="9" t="n">
        <f aca="false">SUM(B82:M82)</f>
        <v>900</v>
      </c>
      <c r="AA82" s="9" t="n">
        <f aca="false">SUM(N82:Y82)</f>
        <v>2100</v>
      </c>
    </row>
    <row r="83" customFormat="false" ht="15" hidden="false" customHeight="false" outlineLevel="0" collapsed="false">
      <c r="A83" s="4" t="s">
        <v>164</v>
      </c>
      <c r="B83" s="5" t="n">
        <v>100</v>
      </c>
      <c r="C83" s="5" t="n">
        <v>100</v>
      </c>
      <c r="D83" s="5" t="n">
        <v>100</v>
      </c>
      <c r="E83" s="5" t="n">
        <v>100</v>
      </c>
      <c r="F83" s="5" t="n">
        <v>100</v>
      </c>
      <c r="G83" s="5" t="n">
        <v>100</v>
      </c>
      <c r="H83" s="5" t="n">
        <v>100</v>
      </c>
      <c r="I83" s="5" t="n">
        <v>100</v>
      </c>
      <c r="J83" s="5" t="n">
        <v>100</v>
      </c>
      <c r="K83" s="5" t="n">
        <v>100</v>
      </c>
      <c r="L83" s="5" t="n">
        <v>100</v>
      </c>
      <c r="M83" s="5" t="n">
        <v>100</v>
      </c>
      <c r="N83" s="5" t="n">
        <v>150</v>
      </c>
      <c r="O83" s="5" t="n">
        <v>150</v>
      </c>
      <c r="P83" s="5" t="n">
        <v>150</v>
      </c>
      <c r="Q83" s="5" t="n">
        <v>150</v>
      </c>
      <c r="R83" s="5" t="n">
        <v>150</v>
      </c>
      <c r="S83" s="5" t="n">
        <v>150</v>
      </c>
      <c r="T83" s="5" t="n">
        <v>200</v>
      </c>
      <c r="U83" s="5" t="n">
        <v>200</v>
      </c>
      <c r="V83" s="5" t="n">
        <v>200</v>
      </c>
      <c r="W83" s="5" t="n">
        <v>200</v>
      </c>
      <c r="X83" s="5" t="n">
        <v>200</v>
      </c>
      <c r="Y83" s="5" t="n">
        <v>200</v>
      </c>
      <c r="Z83" s="9" t="n">
        <f aca="false">SUM(B83:M83)</f>
        <v>1200</v>
      </c>
      <c r="AA83" s="9" t="n">
        <f aca="false">SUM(N83:Y83)</f>
        <v>2100</v>
      </c>
    </row>
    <row r="84" customFormat="false" ht="15" hidden="false" customHeight="false" outlineLevel="0" collapsed="false">
      <c r="A84" s="4" t="s">
        <v>165</v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300</v>
      </c>
      <c r="O84" s="5" t="n">
        <v>300</v>
      </c>
      <c r="P84" s="5" t="n">
        <v>300</v>
      </c>
      <c r="Q84" s="5" t="n">
        <v>300</v>
      </c>
      <c r="R84" s="5" t="n">
        <v>300</v>
      </c>
      <c r="S84" s="5" t="n">
        <v>300</v>
      </c>
      <c r="T84" s="5" t="n">
        <v>300</v>
      </c>
      <c r="U84" s="5" t="n">
        <v>300</v>
      </c>
      <c r="V84" s="5" t="n">
        <v>300</v>
      </c>
      <c r="W84" s="5" t="n">
        <v>300</v>
      </c>
      <c r="X84" s="5" t="n">
        <v>300</v>
      </c>
      <c r="Y84" s="5" t="n">
        <v>300</v>
      </c>
      <c r="Z84" s="9" t="n">
        <f aca="false">SUM(B84:M84)</f>
        <v>0</v>
      </c>
      <c r="AA84" s="9" t="n">
        <f aca="false">SUM(N84:Y84)</f>
        <v>3600</v>
      </c>
    </row>
    <row r="85" customFormat="false" ht="15" hidden="false" customHeight="false" outlineLevel="0" collapsed="false">
      <c r="A85" s="4" t="s">
        <v>166</v>
      </c>
      <c r="B85" s="5" t="n">
        <v>500</v>
      </c>
      <c r="C85" s="5" t="n">
        <v>500</v>
      </c>
      <c r="D85" s="5" t="n">
        <v>500</v>
      </c>
      <c r="E85" s="5" t="n">
        <v>500</v>
      </c>
      <c r="F85" s="5" t="n">
        <v>500</v>
      </c>
      <c r="G85" s="5" t="n">
        <v>500</v>
      </c>
      <c r="H85" s="5" t="n">
        <v>750</v>
      </c>
      <c r="I85" s="5" t="n">
        <v>750</v>
      </c>
      <c r="J85" s="5" t="n">
        <v>750</v>
      </c>
      <c r="K85" s="5" t="n">
        <v>750</v>
      </c>
      <c r="L85" s="5" t="n">
        <v>750</v>
      </c>
      <c r="M85" s="5" t="n">
        <v>750</v>
      </c>
      <c r="N85" s="5" t="n">
        <v>1000</v>
      </c>
      <c r="O85" s="5" t="n">
        <v>1000</v>
      </c>
      <c r="P85" s="5" t="n">
        <v>1000</v>
      </c>
      <c r="Q85" s="5" t="n">
        <v>1000</v>
      </c>
      <c r="R85" s="5" t="n">
        <v>1000</v>
      </c>
      <c r="S85" s="5" t="n">
        <v>1000</v>
      </c>
      <c r="T85" s="5" t="n">
        <v>1500</v>
      </c>
      <c r="U85" s="5" t="n">
        <v>1500</v>
      </c>
      <c r="V85" s="5" t="n">
        <v>1500</v>
      </c>
      <c r="W85" s="5" t="n">
        <v>1500</v>
      </c>
      <c r="X85" s="5" t="n">
        <v>1500</v>
      </c>
      <c r="Y85" s="5" t="n">
        <v>1500</v>
      </c>
      <c r="Z85" s="9" t="n">
        <f aca="false">SUM(B85:M85)</f>
        <v>7500</v>
      </c>
      <c r="AA85" s="9" t="n">
        <f aca="false">SUM(N85:Y85)</f>
        <v>15000</v>
      </c>
    </row>
    <row r="86" customFormat="false" ht="15" hidden="false" customHeight="false" outlineLevel="0" collapsed="false">
      <c r="A86" s="11" t="s">
        <v>167</v>
      </c>
      <c r="B86" s="12" t="n">
        <f aca="false">B75+B76+B77+B78+B79+B80+B81+B82+B83+B84+B85</f>
        <v>2650</v>
      </c>
      <c r="C86" s="12" t="n">
        <f aca="false">C75+C76+C77+C78+C79+C80+C81+C82+C83+C84+C85</f>
        <v>2650</v>
      </c>
      <c r="D86" s="12" t="n">
        <f aca="false">D75+D76+D77+D78+D79+D80+D81+D82+D83+D84+D85</f>
        <v>2650</v>
      </c>
      <c r="E86" s="12" t="n">
        <f aca="false">E75+E76+E77+E78+E79+E80+E81+E82+E83+E84+E85</f>
        <v>2650</v>
      </c>
      <c r="F86" s="12" t="n">
        <f aca="false">F75+F76+F77+F78+F79+F80+F81+F82+F83+F84+F85</f>
        <v>2650</v>
      </c>
      <c r="G86" s="12" t="n">
        <f aca="false">G75+G76+G77+G78+G79+G80+G81+G82+G83+G84+G85</f>
        <v>2650</v>
      </c>
      <c r="H86" s="12" t="n">
        <f aca="false">H75+H76+H77+H78+H79+H80+H81+H82+H83+H84+H85</f>
        <v>3900</v>
      </c>
      <c r="I86" s="12" t="n">
        <f aca="false">I75+I76+I77+I78+I79+I80+I81+I82+I83+I84+I85</f>
        <v>3900</v>
      </c>
      <c r="J86" s="12" t="n">
        <f aca="false">J75+J76+J77+J78+J79+J80+J81+J82+J83+J84+J85</f>
        <v>3900</v>
      </c>
      <c r="K86" s="12" t="n">
        <f aca="false">K75+K76+K77+K78+K79+K80+K81+K82+K83+K84+K85</f>
        <v>3900</v>
      </c>
      <c r="L86" s="12" t="n">
        <f aca="false">L75+L76+L77+L78+L79+L80+L81+L82+L83+L84+L85</f>
        <v>3900</v>
      </c>
      <c r="M86" s="12" t="n">
        <f aca="false">M75+M76+M77+M78+M79+M80+M81+M82+M83+M84+M85</f>
        <v>3900</v>
      </c>
      <c r="N86" s="12" t="n">
        <f aca="false">N75+N76+N77+N78+N79+N80+N81+N82+N83+N84+N85</f>
        <v>17650</v>
      </c>
      <c r="O86" s="12" t="n">
        <f aca="false">O75+O76+O77+O78+O79+O80+O81+O82+O83+O84+O85</f>
        <v>17650</v>
      </c>
      <c r="P86" s="12" t="n">
        <f aca="false">P75+P76+P77+P78+P79+P80+P81+P82+P83+P84+P85</f>
        <v>17650</v>
      </c>
      <c r="Q86" s="12" t="n">
        <f aca="false">Q75+Q76+Q77+Q78+Q79+Q80+Q81+Q82+Q83+Q84+Q85</f>
        <v>17650</v>
      </c>
      <c r="R86" s="12" t="n">
        <f aca="false">R75+R76+R77+R78+R79+R80+R81+R82+R83+R84+R85</f>
        <v>17650</v>
      </c>
      <c r="S86" s="12" t="n">
        <f aca="false">S75+S76+S77+S78+S79+S80+S81+S82+S83+S84+S85</f>
        <v>17650</v>
      </c>
      <c r="T86" s="12" t="n">
        <f aca="false">T75+T76+T77+T78+T79+T80+T81+T82+T83+T84+T85</f>
        <v>19700</v>
      </c>
      <c r="U86" s="12" t="n">
        <f aca="false">U75+U76+U77+U78+U79+U80+U81+U82+U83+U84+U85</f>
        <v>19700</v>
      </c>
      <c r="V86" s="12" t="n">
        <f aca="false">V75+V76+V77+V78+V79+V80+V81+V82+V83+V84+V85</f>
        <v>19700</v>
      </c>
      <c r="W86" s="12" t="n">
        <f aca="false">W75+W76+W77+W78+W79+W80+W81+W82+W83+W84+W85</f>
        <v>19700</v>
      </c>
      <c r="X86" s="12" t="n">
        <f aca="false">X75+X76+X77+X78+X79+X80+X81+X82+X83+X84+X85</f>
        <v>19700</v>
      </c>
      <c r="Y86" s="12" t="n">
        <f aca="false">Y75+Y76+Y77+Y78+Y79+Y80+Y81+Y82+Y83+Y84+Y85</f>
        <v>19700</v>
      </c>
      <c r="Z86" s="12" t="n">
        <f aca="false">SUM(B86:M86)</f>
        <v>39300</v>
      </c>
      <c r="AA86" s="12" t="n">
        <f aca="false">SUM(N86:Y86)</f>
        <v>224100</v>
      </c>
    </row>
    <row r="88" customFormat="false" ht="15" hidden="false" customHeight="false" outlineLevel="0" collapsed="false">
      <c r="A88" s="11" t="s">
        <v>168</v>
      </c>
      <c r="B88" s="12" t="n">
        <f aca="false">B23+B45+B72+B86</f>
        <v>7862</v>
      </c>
      <c r="C88" s="12" t="n">
        <f aca="false">C23+C45+C72+C86</f>
        <v>7902</v>
      </c>
      <c r="D88" s="12" t="n">
        <f aca="false">D23+D45+D72+D86</f>
        <v>7942</v>
      </c>
      <c r="E88" s="12" t="n">
        <f aca="false">E23+E45+E72+E86</f>
        <v>23466</v>
      </c>
      <c r="F88" s="12" t="n">
        <f aca="false">F23+F45+F72+F86</f>
        <v>20466</v>
      </c>
      <c r="G88" s="12" t="n">
        <f aca="false">G23+G45+G72+G86</f>
        <v>34396.4</v>
      </c>
      <c r="H88" s="12" t="n">
        <f aca="false">H23+H45+H72+H86</f>
        <v>47567.2</v>
      </c>
      <c r="I88" s="12" t="n">
        <f aca="false">I23+I45+I72+I86</f>
        <v>63107.2</v>
      </c>
      <c r="J88" s="12" t="n">
        <f aca="false">J23+J45+J72+J86</f>
        <v>59647.2</v>
      </c>
      <c r="K88" s="12" t="n">
        <f aca="false">K23+K45+K72+K86</f>
        <v>83843.8</v>
      </c>
      <c r="L88" s="12" t="n">
        <f aca="false">L23+L45+L72+L86</f>
        <v>77883.8</v>
      </c>
      <c r="M88" s="12" t="n">
        <f aca="false">M23+M45+M72+M86</f>
        <v>77923.8</v>
      </c>
      <c r="N88" s="12" t="n">
        <f aca="false">N23+N45+N72+N86</f>
        <v>129887</v>
      </c>
      <c r="O88" s="12" t="n">
        <f aca="false">O23+O45+O72+O86</f>
        <v>140433.4</v>
      </c>
      <c r="P88" s="12" t="n">
        <f aca="false">P23+P45+P72+P86</f>
        <v>139479.4</v>
      </c>
      <c r="Q88" s="12" t="n">
        <f aca="false">Q23+Q45+Q72+Q86</f>
        <v>138725.4</v>
      </c>
      <c r="R88" s="12" t="n">
        <f aca="false">R23+R45+R72+R86</f>
        <v>138771.4</v>
      </c>
      <c r="S88" s="12" t="n">
        <f aca="false">S23+S45+S72+S86</f>
        <v>141317.4</v>
      </c>
      <c r="T88" s="12" t="n">
        <f aca="false">T23+T45+T72+T86</f>
        <v>169896.8</v>
      </c>
      <c r="U88" s="12" t="n">
        <f aca="false">U23+U45+U72+U86</f>
        <v>188822.2</v>
      </c>
      <c r="V88" s="12" t="n">
        <f aca="false">V23+V45+V72+V86</f>
        <v>187914.2</v>
      </c>
      <c r="W88" s="12" t="n">
        <f aca="false">W23+W45+W72+W86</f>
        <v>185006.2</v>
      </c>
      <c r="X88" s="12" t="n">
        <f aca="false">X23+X45+X72+X86</f>
        <v>185052.2</v>
      </c>
      <c r="Y88" s="12" t="n">
        <f aca="false">Y23+Y45+Y72+Y86</f>
        <v>187598.2</v>
      </c>
      <c r="Z88" s="12" t="n">
        <f aca="false">SUM(B88:M88)</f>
        <v>512007.4</v>
      </c>
      <c r="AA88" s="12" t="n">
        <f aca="false">SUM(N88:Y88)</f>
        <v>1932903.8</v>
      </c>
    </row>
    <row r="90" customFormat="false" ht="15" hidden="false" customHeight="false" outlineLevel="0" collapsed="false">
      <c r="A90" s="2" t="s">
        <v>169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customFormat="false" ht="15" hidden="false" customHeight="false" outlineLevel="0" collapsed="false">
      <c r="A91" s="4" t="s">
        <v>170</v>
      </c>
      <c r="B91" s="9" t="n">
        <f aca="false">B9-B88</f>
        <v>-6562</v>
      </c>
      <c r="C91" s="9" t="n">
        <f aca="false">C9-C88</f>
        <v>-5152</v>
      </c>
      <c r="D91" s="9" t="n">
        <f aca="false">D9-D88</f>
        <v>-3342</v>
      </c>
      <c r="E91" s="9" t="n">
        <f aca="false">E9-E88</f>
        <v>-16616</v>
      </c>
      <c r="F91" s="9" t="n">
        <f aca="false">F9-F88</f>
        <v>-12016</v>
      </c>
      <c r="G91" s="9" t="n">
        <f aca="false">G9-G88</f>
        <v>-23046.4</v>
      </c>
      <c r="H91" s="9" t="n">
        <f aca="false">H9-H88</f>
        <v>-33167.2</v>
      </c>
      <c r="I91" s="9" t="n">
        <f aca="false">I9-I88</f>
        <v>-45657.2</v>
      </c>
      <c r="J91" s="9" t="n">
        <f aca="false">J9-J88</f>
        <v>-38747.2</v>
      </c>
      <c r="K91" s="9" t="n">
        <f aca="false">K9-K88</f>
        <v>-58443.8</v>
      </c>
      <c r="L91" s="9" t="n">
        <f aca="false">L9-L88</f>
        <v>-48233.8</v>
      </c>
      <c r="M91" s="9" t="n">
        <f aca="false">M9-M88</f>
        <v>-43623.8</v>
      </c>
      <c r="N91" s="9" t="n">
        <f aca="false">N9-N88</f>
        <v>-84737</v>
      </c>
      <c r="O91" s="9" t="n">
        <f aca="false">O9-O88</f>
        <v>-89053.4</v>
      </c>
      <c r="P91" s="9" t="n">
        <f aca="false">P9-P88</f>
        <v>-81409.4</v>
      </c>
      <c r="Q91" s="9" t="n">
        <f aca="false">Q9-Q88</f>
        <v>-73965.4</v>
      </c>
      <c r="R91" s="9" t="n">
        <f aca="false">R9-R88</f>
        <v>-66861.4</v>
      </c>
      <c r="S91" s="9" t="n">
        <f aca="false">S9-S88</f>
        <v>-61797.4</v>
      </c>
      <c r="T91" s="9" t="n">
        <f aca="false">T9-T88</f>
        <v>-82056.8</v>
      </c>
      <c r="U91" s="9" t="n">
        <f aca="false">U9-U88</f>
        <v>-91742.2</v>
      </c>
      <c r="V91" s="9" t="n">
        <f aca="false">V9-V88</f>
        <v>-81134.2</v>
      </c>
      <c r="W91" s="9" t="n">
        <f aca="false">W9-W88</f>
        <v>-68066.2</v>
      </c>
      <c r="X91" s="9" t="n">
        <f aca="false">X9-X88</f>
        <v>-57742.2</v>
      </c>
      <c r="Y91" s="9" t="n">
        <f aca="false">Y9-Y88</f>
        <v>-49918.2</v>
      </c>
      <c r="Z91" s="9" t="n">
        <f aca="false">SUM(B91:M91)</f>
        <v>-334607.4</v>
      </c>
      <c r="AA91" s="9" t="n">
        <f aca="false">SUM(N91:Y91)</f>
        <v>-888483.8</v>
      </c>
    </row>
    <row r="92" customFormat="false" ht="15" hidden="false" customHeight="false" outlineLevel="0" collapsed="false">
      <c r="A92" s="4" t="s">
        <v>171</v>
      </c>
      <c r="B92" s="13" t="n">
        <f aca="false">IF(B9=0,0,B91/B9)</f>
        <v>-5.04769230769231</v>
      </c>
      <c r="C92" s="13" t="n">
        <f aca="false">IF(C9=0,0,C91/C9)</f>
        <v>-1.87345454545455</v>
      </c>
      <c r="D92" s="13" t="n">
        <f aca="false">IF(D9=0,0,D91/D9)</f>
        <v>-0.726521739130435</v>
      </c>
      <c r="E92" s="13" t="n">
        <f aca="false">IF(E9=0,0,E91/E9)</f>
        <v>-2.42569343065693</v>
      </c>
      <c r="F92" s="13" t="n">
        <f aca="false">IF(F9=0,0,F91/F9)</f>
        <v>-1.42201183431953</v>
      </c>
      <c r="G92" s="13" t="n">
        <f aca="false">IF(G9=0,0,G91/G9)</f>
        <v>-2.03051982378855</v>
      </c>
      <c r="H92" s="13" t="n">
        <f aca="false">IF(H9=0,0,H91/H9)</f>
        <v>-2.30327777777778</v>
      </c>
      <c r="I92" s="13" t="n">
        <f aca="false">IF(I9=0,0,I91/I9)</f>
        <v>-2.61645845272206</v>
      </c>
      <c r="J92" s="13" t="n">
        <f aca="false">IF(J9=0,0,J91/J9)</f>
        <v>-1.85393301435407</v>
      </c>
      <c r="K92" s="13" t="n">
        <f aca="false">IF(K9=0,0,K91/K9)</f>
        <v>-2.30093700787402</v>
      </c>
      <c r="L92" s="13" t="n">
        <f aca="false">IF(L9=0,0,L91/L9)</f>
        <v>-1.62677234401349</v>
      </c>
      <c r="M92" s="13" t="n">
        <f aca="false">IF(M9=0,0,M91/M9)</f>
        <v>-1.27183090379009</v>
      </c>
      <c r="N92" s="13" t="n">
        <f aca="false">IF(N9=0,0,N91/N9)</f>
        <v>-1.87678848283499</v>
      </c>
      <c r="O92" s="13" t="n">
        <f aca="false">IF(O9=0,0,O91/O9)</f>
        <v>-1.73323082911639</v>
      </c>
      <c r="P92" s="13" t="n">
        <f aca="false">IF(P9=0,0,P91/P9)</f>
        <v>-1.40191837437575</v>
      </c>
      <c r="Q92" s="13" t="n">
        <f aca="false">IF(Q9=0,0,Q91/Q9)</f>
        <v>-1.14214638665843</v>
      </c>
      <c r="R92" s="13" t="n">
        <f aca="false">IF(R9=0,0,R91/R9)</f>
        <v>-0.929792796551245</v>
      </c>
      <c r="S92" s="13" t="n">
        <f aca="false">IF(S9=0,0,S91/S9)</f>
        <v>-0.777130281690141</v>
      </c>
      <c r="T92" s="13" t="n">
        <f aca="false">IF(T9=0,0,T91/T9)</f>
        <v>-0.934162112932605</v>
      </c>
      <c r="U92" s="13" t="n">
        <f aca="false">IF(U9=0,0,U91/U9)</f>
        <v>-0.945016481252575</v>
      </c>
      <c r="V92" s="13" t="n">
        <f aca="false">IF(V9=0,0,V91/V9)</f>
        <v>-0.759825810076794</v>
      </c>
      <c r="W92" s="13" t="n">
        <f aca="false">IF(W9=0,0,W91/W9)</f>
        <v>-0.582060885924406</v>
      </c>
      <c r="X92" s="13" t="n">
        <f aca="false">IF(X9=0,0,X91/X9)</f>
        <v>-0.453555887204462</v>
      </c>
      <c r="Y92" s="13" t="n">
        <f aca="false">IF(Y9=0,0,Y91/Y9)</f>
        <v>-0.36256682161534</v>
      </c>
      <c r="Z92" s="13" t="n">
        <f aca="false">IF(Z9=0,0,Z91/Z9)</f>
        <v>-1.88617474633596</v>
      </c>
      <c r="AA92" s="13" t="n">
        <f aca="false">IF(AA9=0,0,AA91/AA9)</f>
        <v>-0.850695888627181</v>
      </c>
    </row>
    <row r="93" customFormat="false" ht="15" hidden="false" customHeight="false" outlineLevel="0" collapsed="false">
      <c r="A93" s="4" t="s">
        <v>172</v>
      </c>
      <c r="B93" s="9" t="n">
        <f aca="false">B91</f>
        <v>-6562</v>
      </c>
      <c r="C93" s="9" t="n">
        <f aca="false">B93+C91</f>
        <v>-11714</v>
      </c>
      <c r="D93" s="9" t="n">
        <f aca="false">C93+D91</f>
        <v>-15056</v>
      </c>
      <c r="E93" s="9" t="n">
        <f aca="false">D93+E91</f>
        <v>-31672</v>
      </c>
      <c r="F93" s="9" t="n">
        <f aca="false">E93+F91</f>
        <v>-43688</v>
      </c>
      <c r="G93" s="9" t="n">
        <f aca="false">F93+G91</f>
        <v>-66734.4</v>
      </c>
      <c r="H93" s="9" t="n">
        <f aca="false">G93+H91</f>
        <v>-99901.6</v>
      </c>
      <c r="I93" s="9" t="n">
        <f aca="false">H93+I91</f>
        <v>-145558.8</v>
      </c>
      <c r="J93" s="9" t="n">
        <f aca="false">I93+J91</f>
        <v>-184306</v>
      </c>
      <c r="K93" s="9" t="n">
        <f aca="false">J93+K91</f>
        <v>-242749.8</v>
      </c>
      <c r="L93" s="9" t="n">
        <f aca="false">K93+L91</f>
        <v>-290983.6</v>
      </c>
      <c r="M93" s="9" t="n">
        <f aca="false">L93+M91</f>
        <v>-334607.4</v>
      </c>
      <c r="N93" s="9" t="n">
        <f aca="false">M93+N91</f>
        <v>-419344.4</v>
      </c>
      <c r="O93" s="9" t="n">
        <f aca="false">N93+O91</f>
        <v>-508397.8</v>
      </c>
      <c r="P93" s="9" t="n">
        <f aca="false">O93+P91</f>
        <v>-589807.2</v>
      </c>
      <c r="Q93" s="9" t="n">
        <f aca="false">P93+Q91</f>
        <v>-663772.6</v>
      </c>
      <c r="R93" s="9" t="n">
        <f aca="false">Q93+R91</f>
        <v>-730634</v>
      </c>
      <c r="S93" s="9" t="n">
        <f aca="false">R93+S91</f>
        <v>-792431.4</v>
      </c>
      <c r="T93" s="9" t="n">
        <f aca="false">S93+T91</f>
        <v>-874488.2</v>
      </c>
      <c r="U93" s="9" t="n">
        <f aca="false">T93+U91</f>
        <v>-966230.4</v>
      </c>
      <c r="V93" s="9" t="n">
        <f aca="false">U93+V91</f>
        <v>-1047364.6</v>
      </c>
      <c r="W93" s="9" t="n">
        <f aca="false">V93+W91</f>
        <v>-1115430.8</v>
      </c>
      <c r="X93" s="9" t="n">
        <f aca="false">W93+X91</f>
        <v>-1173173</v>
      </c>
      <c r="Y93" s="9" t="n">
        <f aca="false">X93+Y91</f>
        <v>-1223091.2</v>
      </c>
      <c r="Z93" s="9" t="n">
        <f aca="false">M93</f>
        <v>-334607.4</v>
      </c>
      <c r="AA93" s="9" t="n">
        <f aca="false">Y93</f>
        <v>-1223091.2</v>
      </c>
    </row>
    <row r="95" customFormat="false" ht="15" hidden="false" customHeight="false" outlineLevel="0" collapsed="false">
      <c r="A95" s="2" t="s">
        <v>173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customFormat="false" ht="15" hidden="false" customHeight="false" outlineLevel="0" collapsed="false">
      <c r="A96" s="4" t="s">
        <v>174</v>
      </c>
      <c r="B96" s="9" t="n">
        <f aca="false">IF(B91&lt;0,ABS(B91),0)</f>
        <v>6562</v>
      </c>
      <c r="C96" s="9" t="n">
        <f aca="false">IF(C91&lt;0,ABS(C91),0)</f>
        <v>5152</v>
      </c>
      <c r="D96" s="9" t="n">
        <f aca="false">IF(D91&lt;0,ABS(D91),0)</f>
        <v>3342</v>
      </c>
      <c r="E96" s="9" t="n">
        <f aca="false">IF(E91&lt;0,ABS(E91),0)</f>
        <v>16616</v>
      </c>
      <c r="F96" s="9" t="n">
        <f aca="false">IF(F91&lt;0,ABS(F91),0)</f>
        <v>12016</v>
      </c>
      <c r="G96" s="9" t="n">
        <f aca="false">IF(G91&lt;0,ABS(G91),0)</f>
        <v>23046.4</v>
      </c>
      <c r="H96" s="9" t="n">
        <f aca="false">IF(H91&lt;0,ABS(H91),0)</f>
        <v>33167.2</v>
      </c>
      <c r="I96" s="9" t="n">
        <f aca="false">IF(I91&lt;0,ABS(I91),0)</f>
        <v>45657.2</v>
      </c>
      <c r="J96" s="9" t="n">
        <f aca="false">IF(J91&lt;0,ABS(J91),0)</f>
        <v>38747.2</v>
      </c>
      <c r="K96" s="9" t="n">
        <f aca="false">IF(K91&lt;0,ABS(K91),0)</f>
        <v>58443.8</v>
      </c>
      <c r="L96" s="9" t="n">
        <f aca="false">IF(L91&lt;0,ABS(L91),0)</f>
        <v>48233.8</v>
      </c>
      <c r="M96" s="9" t="n">
        <f aca="false">IF(M91&lt;0,ABS(M91),0)</f>
        <v>43623.8</v>
      </c>
      <c r="N96" s="9" t="n">
        <f aca="false">IF(N91&lt;0,ABS(N91),0)</f>
        <v>84737</v>
      </c>
      <c r="O96" s="9" t="n">
        <f aca="false">IF(O91&lt;0,ABS(O91),0)</f>
        <v>89053.4</v>
      </c>
      <c r="P96" s="9" t="n">
        <f aca="false">IF(P91&lt;0,ABS(P91),0)</f>
        <v>81409.4</v>
      </c>
      <c r="Q96" s="9" t="n">
        <f aca="false">IF(Q91&lt;0,ABS(Q91),0)</f>
        <v>73965.4</v>
      </c>
      <c r="R96" s="9" t="n">
        <f aca="false">IF(R91&lt;0,ABS(R91),0)</f>
        <v>66861.4</v>
      </c>
      <c r="S96" s="9" t="n">
        <f aca="false">IF(S91&lt;0,ABS(S91),0)</f>
        <v>61797.4</v>
      </c>
      <c r="T96" s="9" t="n">
        <f aca="false">IF(T91&lt;0,ABS(T91),0)</f>
        <v>82056.8</v>
      </c>
      <c r="U96" s="9" t="n">
        <f aca="false">IF(U91&lt;0,ABS(U91),0)</f>
        <v>91742.2</v>
      </c>
      <c r="V96" s="9" t="n">
        <f aca="false">IF(V91&lt;0,ABS(V91),0)</f>
        <v>81134.2</v>
      </c>
      <c r="W96" s="9" t="n">
        <f aca="false">IF(W91&lt;0,ABS(W91),0)</f>
        <v>68066.2</v>
      </c>
      <c r="X96" s="9" t="n">
        <f aca="false">IF(X91&lt;0,ABS(X91),0)</f>
        <v>57742.2</v>
      </c>
      <c r="Y96" s="9" t="n">
        <f aca="false">IF(Y91&lt;0,ABS(Y91),0)</f>
        <v>49918.2</v>
      </c>
      <c r="Z96" s="9" t="n">
        <f aca="false">AVERAGE(B96:M96)</f>
        <v>27883.95</v>
      </c>
      <c r="AA96" s="9" t="n">
        <f aca="false">AVERAGE(N96:Y96)</f>
        <v>74040.3166666667</v>
      </c>
    </row>
    <row r="97" customFormat="false" ht="15" hidden="false" customHeight="false" outlineLevel="0" collapsed="false">
      <c r="A97" s="4" t="s">
        <v>175</v>
      </c>
      <c r="B97" s="9" t="n">
        <f aca="false">B7*12</f>
        <v>9600</v>
      </c>
      <c r="C97" s="9" t="n">
        <f aca="false">C7*12</f>
        <v>24000</v>
      </c>
      <c r="D97" s="9" t="n">
        <f aca="false">D7*12</f>
        <v>43200</v>
      </c>
      <c r="E97" s="9" t="n">
        <f aca="false">E7*12</f>
        <v>67200</v>
      </c>
      <c r="F97" s="9" t="n">
        <f aca="false">F7*12</f>
        <v>86400</v>
      </c>
      <c r="G97" s="9" t="n">
        <f aca="false">G7*12</f>
        <v>115200</v>
      </c>
      <c r="H97" s="9" t="n">
        <f aca="false">H7*12</f>
        <v>148800</v>
      </c>
      <c r="I97" s="9" t="n">
        <f aca="false">I7*12</f>
        <v>182400</v>
      </c>
      <c r="J97" s="9" t="n">
        <f aca="false">J7*12</f>
        <v>220800</v>
      </c>
      <c r="K97" s="9" t="n">
        <f aca="false">K7*12</f>
        <v>268800</v>
      </c>
      <c r="L97" s="9" t="n">
        <f aca="false">L7*12</f>
        <v>316800</v>
      </c>
      <c r="M97" s="9" t="n">
        <f aca="false">M7*12</f>
        <v>369600</v>
      </c>
      <c r="N97" s="9" t="n">
        <f aca="false">N7*12</f>
        <v>496800</v>
      </c>
      <c r="O97" s="9" t="n">
        <f aca="false">O7*12</f>
        <v>568560</v>
      </c>
      <c r="P97" s="9" t="n">
        <f aca="false">P7*12</f>
        <v>645840</v>
      </c>
      <c r="Q97" s="9" t="n">
        <f aca="false">Q7*12</f>
        <v>723120</v>
      </c>
      <c r="R97" s="9" t="n">
        <f aca="false">R7*12</f>
        <v>805920</v>
      </c>
      <c r="S97" s="9" t="n">
        <f aca="false">S7*12</f>
        <v>894240</v>
      </c>
      <c r="T97" s="9" t="n">
        <f aca="false">T7*12</f>
        <v>988080</v>
      </c>
      <c r="U97" s="9" t="n">
        <f aca="false">U7*12</f>
        <v>1092960</v>
      </c>
      <c r="V97" s="9" t="n">
        <f aca="false">V7*12</f>
        <v>1203360</v>
      </c>
      <c r="W97" s="9" t="n">
        <f aca="false">W7*12</f>
        <v>1319280</v>
      </c>
      <c r="X97" s="9" t="n">
        <f aca="false">X7*12</f>
        <v>1440720</v>
      </c>
      <c r="Y97" s="9" t="n">
        <f aca="false">Y7*12</f>
        <v>1562160</v>
      </c>
      <c r="Z97" s="9" t="n">
        <f aca="false">M97</f>
        <v>369600</v>
      </c>
      <c r="AA97" s="9" t="n">
        <f aca="false">Y97</f>
        <v>1562160</v>
      </c>
    </row>
    <row r="98" customFormat="false" ht="15" hidden="false" customHeight="false" outlineLevel="0" collapsed="false">
      <c r="A98" s="4" t="s">
        <v>176</v>
      </c>
      <c r="B98" s="9" t="n">
        <f aca="false">IF(B3=0,0,(B23+B45)/B3)</f>
        <v>1838</v>
      </c>
      <c r="C98" s="9" t="n">
        <f aca="false">IF(C3=0,0,(C23+C45)/C3)</f>
        <v>1238.66666666667</v>
      </c>
      <c r="D98" s="9" t="n">
        <f aca="false">IF(D3=0,0,(D23+D45)/D3)</f>
        <v>939</v>
      </c>
      <c r="E98" s="9" t="n">
        <f aca="false">IF(E3=0,0,(E23+E45)/E3)</f>
        <v>846</v>
      </c>
      <c r="F98" s="9" t="n">
        <f aca="false">IF(F3=0,0,(F23+F45)/F3)</f>
        <v>846</v>
      </c>
      <c r="G98" s="9" t="n">
        <f aca="false">IF(G3=0,0,(G23+G45)/G3)</f>
        <v>615.714285714286</v>
      </c>
      <c r="H98" s="9" t="n">
        <f aca="false">IF(H3=0,0,(H23+H45)/H3)</f>
        <v>2264.175</v>
      </c>
      <c r="I98" s="9" t="n">
        <f aca="false">IF(I3=0,0,(I23+I45)/I3)</f>
        <v>2017.04444444444</v>
      </c>
      <c r="J98" s="9" t="n">
        <f aca="false">IF(J3=0,0,(J23+J45)/J3)</f>
        <v>1819.34</v>
      </c>
      <c r="K98" s="9" t="n">
        <f aca="false">IF(K3=0,0,(K23+K45)/K3)</f>
        <v>1522.78333333333</v>
      </c>
      <c r="L98" s="9" t="n">
        <f aca="false">IF(L3=0,0,(L23+L45)/L3)</f>
        <v>1408.72307692308</v>
      </c>
      <c r="M98" s="9" t="n">
        <f aca="false">IF(M3=0,0,(M23+M45)/M3)</f>
        <v>1310.95714285714</v>
      </c>
      <c r="N98" s="9" t="n">
        <f aca="false">IF(N3=0,0,(N23+N45)/N3)</f>
        <v>2454.2</v>
      </c>
      <c r="O98" s="9" t="n">
        <f aca="false">IF(O3=0,0,(O23+O45)/O3)</f>
        <v>2303.6875</v>
      </c>
      <c r="P98" s="9" t="n">
        <f aca="false">IF(P3=0,0,(P23+P45)/P3)</f>
        <v>2170.88235294118</v>
      </c>
      <c r="Q98" s="9" t="n">
        <f aca="false">IF(Q3=0,0,(Q23+Q45)/Q3)</f>
        <v>2052.83333333333</v>
      </c>
      <c r="R98" s="9" t="n">
        <f aca="false">IF(R3=0,0,(R23+R45)/R3)</f>
        <v>1947.21052631579</v>
      </c>
      <c r="S98" s="9" t="n">
        <f aca="false">IF(S3=0,0,(S23+S45)/S3)</f>
        <v>1852.15</v>
      </c>
      <c r="T98" s="9" t="n">
        <f aca="false">IF(T3=0,0,(T23+T45)/T3)</f>
        <v>2722.92727272727</v>
      </c>
      <c r="U98" s="9" t="n">
        <f aca="false">IF(U3=0,0,(U23+U45)/U3)</f>
        <v>2499.85</v>
      </c>
      <c r="V98" s="9" t="n">
        <f aca="false">IF(V3=0,0,(V23+V45)/V3)</f>
        <v>2311.09230769231</v>
      </c>
      <c r="W98" s="9" t="n">
        <f aca="false">IF(W3=0,0,(W23+W45)/W3)</f>
        <v>2149.3</v>
      </c>
      <c r="X98" s="9" t="n">
        <f aca="false">IF(X3=0,0,(X23+X45)/X3)</f>
        <v>2076.7724137931</v>
      </c>
      <c r="Y98" s="9" t="n">
        <f aca="false">IF(Y3=0,0,(Y23+Y45)/Y3)</f>
        <v>2009.08</v>
      </c>
      <c r="Z98" s="9" t="n">
        <f aca="false">IF(Z3=0,0,(Z23+Z45)/Z3)</f>
        <v>1449.11304347826</v>
      </c>
      <c r="AA98" s="9" t="n">
        <f aca="false">IF(AA3=0,0,(AA23+AA45)/AA3)</f>
        <v>2205.44090909091</v>
      </c>
    </row>
    <row r="99" customFormat="false" ht="15" hidden="false" customHeight="false" outlineLevel="0" collapsed="false">
      <c r="A99" s="4" t="s">
        <v>177</v>
      </c>
      <c r="B99" s="9" t="n">
        <f aca="false">B6/0.05</f>
        <v>8000</v>
      </c>
      <c r="C99" s="9" t="n">
        <f aca="false">C6/0.05</f>
        <v>8000</v>
      </c>
      <c r="D99" s="9" t="n">
        <f aca="false">D6/0.05</f>
        <v>8000</v>
      </c>
      <c r="E99" s="9" t="n">
        <f aca="false">E6/0.05</f>
        <v>8000</v>
      </c>
      <c r="F99" s="9" t="n">
        <f aca="false">F6/0.05</f>
        <v>8000</v>
      </c>
      <c r="G99" s="9" t="n">
        <f aca="false">G6/0.05</f>
        <v>8000</v>
      </c>
      <c r="H99" s="9" t="n">
        <f aca="false">H6/0.05</f>
        <v>8000</v>
      </c>
      <c r="I99" s="9" t="n">
        <f aca="false">I6/0.05</f>
        <v>8000</v>
      </c>
      <c r="J99" s="9" t="n">
        <f aca="false">J6/0.05</f>
        <v>8000</v>
      </c>
      <c r="K99" s="9" t="n">
        <f aca="false">K6/0.05</f>
        <v>8000</v>
      </c>
      <c r="L99" s="9" t="n">
        <f aca="false">L6/0.05</f>
        <v>8000</v>
      </c>
      <c r="M99" s="9" t="n">
        <f aca="false">M6/0.05</f>
        <v>8000</v>
      </c>
      <c r="N99" s="9" t="n">
        <f aca="false">N6/0.03</f>
        <v>15333.3333333333</v>
      </c>
      <c r="O99" s="9" t="n">
        <f aca="false">O6/0.03</f>
        <v>15333.3333333333</v>
      </c>
      <c r="P99" s="9" t="n">
        <f aca="false">P6/0.03</f>
        <v>15333.3333333333</v>
      </c>
      <c r="Q99" s="9" t="n">
        <f aca="false">Q6/0.03</f>
        <v>15333.3333333333</v>
      </c>
      <c r="R99" s="9" t="n">
        <f aca="false">R6/0.03</f>
        <v>15333.3333333333</v>
      </c>
      <c r="S99" s="9" t="n">
        <f aca="false">S6/0.03</f>
        <v>15333.3333333333</v>
      </c>
      <c r="T99" s="9" t="n">
        <f aca="false">T6/0.03</f>
        <v>15333.3333333333</v>
      </c>
      <c r="U99" s="9" t="n">
        <f aca="false">U6/0.03</f>
        <v>15333.3333333333</v>
      </c>
      <c r="V99" s="9" t="n">
        <f aca="false">V6/0.03</f>
        <v>15333.3333333333</v>
      </c>
      <c r="W99" s="9" t="n">
        <f aca="false">W6/0.03</f>
        <v>15333.3333333333</v>
      </c>
      <c r="X99" s="9" t="n">
        <f aca="false">X6/0.03</f>
        <v>15333.3333333333</v>
      </c>
      <c r="Y99" s="9" t="n">
        <f aca="false">Y6/0.03</f>
        <v>15333.3333333333</v>
      </c>
      <c r="Z99" s="9" t="n">
        <f aca="false">M99</f>
        <v>8000</v>
      </c>
      <c r="AA99" s="9" t="n">
        <f aca="false">Y99</f>
        <v>15333.3333333333</v>
      </c>
    </row>
    <row r="100" customFormat="false" ht="15" hidden="false" customHeight="false" outlineLevel="0" collapsed="false">
      <c r="A100" s="4" t="s">
        <v>178</v>
      </c>
      <c r="B100" s="13" t="n">
        <f aca="false">IF(B88=0,0,B23/B88)</f>
        <v>0.143729330959044</v>
      </c>
      <c r="C100" s="13" t="n">
        <f aca="false">IF(C88=0,0,C23/C88)</f>
        <v>0.148063781321185</v>
      </c>
      <c r="D100" s="13" t="n">
        <f aca="false">IF(D88=0,0,D23/D88)</f>
        <v>0.152354570637119</v>
      </c>
      <c r="E100" s="13" t="n">
        <f aca="false">IF(E88=0,0,E23/E88)</f>
        <v>0.0788374669734936</v>
      </c>
      <c r="F100" s="13" t="n">
        <f aca="false">IF(F88=0,0,F23/F88)</f>
        <v>0.0903938239030587</v>
      </c>
      <c r="G100" s="13" t="n">
        <f aca="false">IF(G88=0,0,G23/G88)</f>
        <v>0.0561105231942878</v>
      </c>
      <c r="H100" s="13" t="n">
        <f aca="false">IF(H88=0,0,H23/H88)</f>
        <v>0.168611984728973</v>
      </c>
      <c r="I100" s="13" t="n">
        <f aca="false">IF(I88=0,0,I23/I88)</f>
        <v>0.127725521018204</v>
      </c>
      <c r="J100" s="13" t="n">
        <f aca="false">IF(J88=0,0,J23/J88)</f>
        <v>0.135805201250017</v>
      </c>
      <c r="K100" s="13" t="n">
        <f aca="false">IF(K88=0,0,K23/K88)</f>
        <v>0.0975671427106119</v>
      </c>
      <c r="L100" s="13" t="n">
        <f aca="false">IF(L88=0,0,L23/L88)</f>
        <v>0.105546981528893</v>
      </c>
      <c r="M100" s="13" t="n">
        <f aca="false">IF(M88=0,0,M23/M88)</f>
        <v>0.106006123931328</v>
      </c>
      <c r="N100" s="13" t="n">
        <f aca="false">IF(N88=0,0,N23/N88)</f>
        <v>0.170067828189118</v>
      </c>
      <c r="O100" s="13" t="n">
        <f aca="false">IF(O88=0,0,O23/O88)</f>
        <v>0.157623471339439</v>
      </c>
      <c r="P100" s="13" t="n">
        <f aca="false">IF(P88=0,0,P23/P88)</f>
        <v>0.159031369506895</v>
      </c>
      <c r="Q100" s="13" t="n">
        <f aca="false">IF(Q88=0,0,Q23/Q88)</f>
        <v>0.160227326790912</v>
      </c>
      <c r="R100" s="13" t="n">
        <f aca="false">IF(R88=0,0,R23/R88)</f>
        <v>0.160505694977495</v>
      </c>
      <c r="S100" s="13" t="n">
        <f aca="false">IF(S88=0,0,S23/S88)</f>
        <v>0.157939503557241</v>
      </c>
      <c r="T100" s="13" t="n">
        <f aca="false">IF(T88=0,0,T23/T88)</f>
        <v>0.207257582249931</v>
      </c>
      <c r="U100" s="13" t="n">
        <f aca="false">IF(U88=0,0,U23/U88)</f>
        <v>0.186971659052802</v>
      </c>
      <c r="V100" s="13" t="n">
        <f aca="false">IF(V88=0,0,V23/V88)</f>
        <v>0.188364689842492</v>
      </c>
      <c r="W100" s="13" t="n">
        <f aca="false">IF(W88=0,0,W23/W88)</f>
        <v>0.191822760534512</v>
      </c>
      <c r="X100" s="13" t="n">
        <f aca="false">IF(X88=0,0,X23/X88)</f>
        <v>0.192023656027867</v>
      </c>
      <c r="Y100" s="13" t="n">
        <f aca="false">IF(Y88=0,0,Y23/Y88)</f>
        <v>0.189662800602564</v>
      </c>
      <c r="Z100" s="13" t="n">
        <f aca="false">IF(Z88=0,0,Z23/Z88)</f>
        <v>0.113245238252416</v>
      </c>
      <c r="AA100" s="13" t="n">
        <f aca="false">IF(AA88=0,0,AA23/AA88)</f>
        <v>0.178872844059803</v>
      </c>
    </row>
    <row r="101" customFormat="false" ht="15" hidden="false" customHeight="false" outlineLevel="0" collapsed="false">
      <c r="A101" s="4" t="s">
        <v>179</v>
      </c>
      <c r="B101" s="13" t="n">
        <f aca="false">IF(B88=0,0,B45/B88)</f>
        <v>0.323836174001526</v>
      </c>
      <c r="C101" s="13" t="n">
        <f aca="false">IF(C88=0,0,C45/C88)</f>
        <v>0.322196912174133</v>
      </c>
      <c r="D101" s="13" t="n">
        <f aca="false">IF(D88=0,0,D45/D88)</f>
        <v>0.320574162679426</v>
      </c>
      <c r="E101" s="13" t="n">
        <f aca="false">IF(E88=0,0,E45/E88)</f>
        <v>0.101423335890224</v>
      </c>
      <c r="F101" s="13" t="n">
        <f aca="false">IF(F88=0,0,F45/F88)</f>
        <v>0.116290432913124</v>
      </c>
      <c r="G101" s="13" t="n">
        <f aca="false">IF(G88=0,0,G45/G88)</f>
        <v>0.0691932876696399</v>
      </c>
      <c r="H101" s="13" t="n">
        <f aca="false">IF(H88=0,0,H45/H88)</f>
        <v>0.212184025967473</v>
      </c>
      <c r="I101" s="13" t="n">
        <f aca="false">IF(I88=0,0,I45/I88)</f>
        <v>0.159934207190305</v>
      </c>
      <c r="J101" s="13" t="n">
        <f aca="false">IF(J88=0,0,J45/J88)</f>
        <v>0.169211631057283</v>
      </c>
      <c r="K101" s="13" t="n">
        <f aca="false">IF(K88=0,0,K45/K88)</f>
        <v>0.120378608793972</v>
      </c>
      <c r="L101" s="13" t="n">
        <f aca="false">IF(L88=0,0,L45/L88)</f>
        <v>0.129590492502934</v>
      </c>
      <c r="M101" s="13" t="n">
        <f aca="false">IF(M88=0,0,M45/M88)</f>
        <v>0.129523970853577</v>
      </c>
      <c r="N101" s="13" t="n">
        <f aca="false">IF(N88=0,0,N45/N88)</f>
        <v>0.113355455126379</v>
      </c>
      <c r="O101" s="13" t="n">
        <f aca="false">IF(O88=0,0,O45/O88)</f>
        <v>0.104842580183916</v>
      </c>
      <c r="P101" s="13" t="n">
        <f aca="false">IF(P88=0,0,P45/P88)</f>
        <v>0.105559674045056</v>
      </c>
      <c r="Q101" s="13" t="n">
        <f aca="false">IF(Q88=0,0,Q45/Q88)</f>
        <v>0.106133411761653</v>
      </c>
      <c r="R101" s="13" t="n">
        <f aca="false">IF(R88=0,0,R45/R88)</f>
        <v>0.106098230615242</v>
      </c>
      <c r="S101" s="13" t="n">
        <f aca="false">IF(S88=0,0,S45/S88)</f>
        <v>0.104186745581224</v>
      </c>
      <c r="T101" s="13" t="n">
        <f aca="false">IF(T88=0,0,T45/T88)</f>
        <v>0.1453352858912</v>
      </c>
      <c r="U101" s="13" t="n">
        <f aca="false">IF(U88=0,0,U45/U88)</f>
        <v>0.130768521921681</v>
      </c>
      <c r="V101" s="13" t="n">
        <f aca="false">IF(V88=0,0,V45/V88)</f>
        <v>0.131400394435333</v>
      </c>
      <c r="W101" s="13" t="n">
        <f aca="false">IF(W88=0,0,W45/W88)</f>
        <v>0.133465797362467</v>
      </c>
      <c r="X101" s="13" t="n">
        <f aca="false">IF(X88=0,0,X45/X88)</f>
        <v>0.133432620633529</v>
      </c>
      <c r="Y101" s="13" t="n">
        <f aca="false">IF(Y88=0,0,Y45/Y88)</f>
        <v>0.131621731978239</v>
      </c>
      <c r="Z101" s="13" t="n">
        <f aca="false">IF(Z88=0,0,Z45/Z88)</f>
        <v>0.14713849838889</v>
      </c>
      <c r="AA101" s="13" t="n">
        <f aca="false">IF(AA88=0,0,AA45/AA88)</f>
        <v>0.122350838153456</v>
      </c>
    </row>
    <row r="102" customFormat="false" ht="15" hidden="false" customHeight="false" outlineLevel="0" collapsed="false">
      <c r="A102" s="4" t="s">
        <v>180</v>
      </c>
      <c r="B102" s="13" t="n">
        <f aca="false">IF(B88=0,0,B72/B88)</f>
        <v>0.195370134825744</v>
      </c>
      <c r="C102" s="13" t="n">
        <f aca="false">IF(C88=0,0,C72/C88)</f>
        <v>0.194381169324222</v>
      </c>
      <c r="D102" s="13" t="n">
        <f aca="false">IF(D88=0,0,D72/D88)</f>
        <v>0.193402165701335</v>
      </c>
      <c r="E102" s="13" t="n">
        <f aca="false">IF(E88=0,0,E72/E88)</f>
        <v>0.706809852552629</v>
      </c>
      <c r="F102" s="13" t="n">
        <f aca="false">IF(F88=0,0,F72/F88)</f>
        <v>0.66383269813349</v>
      </c>
      <c r="G102" s="13" t="n">
        <f aca="false">IF(G88=0,0,G72/G88)</f>
        <v>0.797653242781221</v>
      </c>
      <c r="H102" s="13" t="n">
        <f aca="false">IF(H88=0,0,H72/H88)</f>
        <v>0.537214719386468</v>
      </c>
      <c r="I102" s="13" t="n">
        <f aca="false">IF(I88=0,0,I72/I88)</f>
        <v>0.65054066730896</v>
      </c>
      <c r="J102" s="13" t="n">
        <f aca="false">IF(J88=0,0,J72/J88)</f>
        <v>0.629598707064204</v>
      </c>
      <c r="K102" s="13" t="n">
        <f aca="false">IF(K88=0,0,K72/K88)</f>
        <v>0.735539181191692</v>
      </c>
      <c r="L102" s="13" t="n">
        <f aca="false">IF(L88=0,0,L72/L88)</f>
        <v>0.714787927656329</v>
      </c>
      <c r="M102" s="13" t="n">
        <f aca="false">IF(M88=0,0,M72/M88)</f>
        <v>0.71442101129565</v>
      </c>
      <c r="N102" s="13" t="n">
        <f aca="false">IF(N88=0,0,N72/N88)</f>
        <v>0.580689368451038</v>
      </c>
      <c r="O102" s="13" t="n">
        <f aca="false">IF(O88=0,0,O72/O88)</f>
        <v>0.611851596557514</v>
      </c>
      <c r="P102" s="13" t="n">
        <f aca="false">IF(P88=0,0,P72/P88)</f>
        <v>0.608866972470487</v>
      </c>
      <c r="Q102" s="13" t="n">
        <f aca="false">IF(Q88=0,0,Q72/Q88)</f>
        <v>0.606409496746811</v>
      </c>
      <c r="R102" s="13" t="n">
        <f aca="false">IF(R88=0,0,R72/R88)</f>
        <v>0.606208483880684</v>
      </c>
      <c r="S102" s="13" t="n">
        <f aca="false">IF(S88=0,0,S72/S88)</f>
        <v>0.612977595115676</v>
      </c>
      <c r="T102" s="13" t="n">
        <f aca="false">IF(T88=0,0,T72/T88)</f>
        <v>0.531454388781896</v>
      </c>
      <c r="U102" s="13" t="n">
        <f aca="false">IF(U88=0,0,U72/U88)</f>
        <v>0.577928866415072</v>
      </c>
      <c r="V102" s="13" t="n">
        <f aca="false">IF(V88=0,0,V72/V88)</f>
        <v>0.575399836733999</v>
      </c>
      <c r="W102" s="13" t="n">
        <f aca="false">IF(W88=0,0,W72/W88)</f>
        <v>0.568228524233242</v>
      </c>
      <c r="X102" s="13" t="n">
        <f aca="false">IF(X88=0,0,X72/X88)</f>
        <v>0.568087274833804</v>
      </c>
      <c r="Y102" s="13" t="n">
        <f aca="false">IF(Y88=0,0,Y72/Y88)</f>
        <v>0.573703798863742</v>
      </c>
      <c r="Z102" s="13" t="n">
        <f aca="false">IF(Z88=0,0,Z72/Z88)</f>
        <v>0.662859560232919</v>
      </c>
      <c r="AA102" s="13" t="n">
        <f aca="false">IF(AA88=0,0,AA72/AA88)</f>
        <v>0.582836766113244</v>
      </c>
    </row>
    <row r="103" customFormat="false" ht="15" hidden="false" customHeight="false" outlineLevel="0" collapsed="false">
      <c r="A103" s="4" t="s">
        <v>181</v>
      </c>
      <c r="B103" s="13" t="n">
        <f aca="false">IF(B88=0,0,B86/B88)</f>
        <v>0.337064360213686</v>
      </c>
      <c r="C103" s="13" t="n">
        <f aca="false">IF(C88=0,0,C86/C88)</f>
        <v>0.335358137180461</v>
      </c>
      <c r="D103" s="13" t="n">
        <f aca="false">IF(D88=0,0,D86/D88)</f>
        <v>0.33366910098212</v>
      </c>
      <c r="E103" s="13" t="n">
        <f aca="false">IF(E88=0,0,E86/E88)</f>
        <v>0.112929344583653</v>
      </c>
      <c r="F103" s="13" t="n">
        <f aca="false">IF(F88=0,0,F86/F88)</f>
        <v>0.129483045050327</v>
      </c>
      <c r="G103" s="13" t="n">
        <f aca="false">IF(G88=0,0,G86/G88)</f>
        <v>0.0770429463548511</v>
      </c>
      <c r="H103" s="13" t="n">
        <f aca="false">IF(H88=0,0,H86/H88)</f>
        <v>0.0819892699170857</v>
      </c>
      <c r="I103" s="13" t="n">
        <f aca="false">IF(I88=0,0,I86/I88)</f>
        <v>0.0617996044825313</v>
      </c>
      <c r="J103" s="13" t="n">
        <f aca="false">IF(J88=0,0,J86/J88)</f>
        <v>0.0653844606284956</v>
      </c>
      <c r="K103" s="13" t="n">
        <f aca="false">IF(K88=0,0,K86/K88)</f>
        <v>0.0465150673037243</v>
      </c>
      <c r="L103" s="13" t="n">
        <f aca="false">IF(L88=0,0,L86/L88)</f>
        <v>0.0500745983118441</v>
      </c>
      <c r="M103" s="13" t="n">
        <f aca="false">IF(M88=0,0,M86/M88)</f>
        <v>0.0500488939194444</v>
      </c>
      <c r="N103" s="13" t="n">
        <f aca="false">IF(N88=0,0,N86/N88)</f>
        <v>0.135887348233464</v>
      </c>
      <c r="O103" s="13" t="n">
        <f aca="false">IF(O88=0,0,O86/O88)</f>
        <v>0.12568235191913</v>
      </c>
      <c r="P103" s="13" t="n">
        <f aca="false">IF(P88=0,0,P86/P88)</f>
        <v>0.126541983977562</v>
      </c>
      <c r="Q103" s="13" t="n">
        <f aca="false">IF(Q88=0,0,Q86/Q88)</f>
        <v>0.127229764700624</v>
      </c>
      <c r="R103" s="13" t="n">
        <f aca="false">IF(R88=0,0,R86/R88)</f>
        <v>0.127187590526578</v>
      </c>
      <c r="S103" s="13" t="n">
        <f aca="false">IF(S88=0,0,S86/S88)</f>
        <v>0.12489615574586</v>
      </c>
      <c r="T103" s="13" t="n">
        <f aca="false">IF(T88=0,0,T86/T88)</f>
        <v>0.115952743076974</v>
      </c>
      <c r="U103" s="13" t="n">
        <f aca="false">IF(U88=0,0,U86/U88)</f>
        <v>0.104330952610445</v>
      </c>
      <c r="V103" s="13" t="n">
        <f aca="false">IF(V88=0,0,V86/V88)</f>
        <v>0.104835078988177</v>
      </c>
      <c r="W103" s="13" t="n">
        <f aca="false">IF(W88=0,0,W86/W88)</f>
        <v>0.10648291786978</v>
      </c>
      <c r="X103" s="13" t="n">
        <f aca="false">IF(X88=0,0,X86/X88)</f>
        <v>0.1064564485048</v>
      </c>
      <c r="Y103" s="13" t="n">
        <f aca="false">IF(Y88=0,0,Y86/Y88)</f>
        <v>0.105011668555455</v>
      </c>
      <c r="Z103" s="13" t="n">
        <f aca="false">IF(Z88=0,0,Z86/Z88)</f>
        <v>0.0767567031257751</v>
      </c>
      <c r="AA103" s="13" t="n">
        <f aca="false">IF(AA88=0,0,AA86/AA88)</f>
        <v>0.115939551673498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2026-03-18T07:20:22Z</dcterms:created>
  <dc:creator>openpyxl</dc:creator>
  <dc:description/>
  <dc:language>en-US</dc:language>
  <cp:lastModifiedBy/>
  <dcterms:modified xsi:type="dcterms:W3CDTF">2026-03-18T07:20:22Z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